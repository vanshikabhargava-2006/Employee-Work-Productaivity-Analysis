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C:\Users\A\OneDrive\Desktop\"/>
    </mc:Choice>
  </mc:AlternateContent>
  <xr:revisionPtr revIDLastSave="0" documentId="8_{EEBA5858-AB71-457E-8CAF-1EE680A98C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Q-2" sheetId="2" r:id="rId2"/>
    <sheet name="Q-3" sheetId="3" r:id="rId3"/>
    <sheet name="Q-4" sheetId="4" r:id="rId4"/>
    <sheet name="Q-5" sheetId="5" r:id="rId5"/>
    <sheet name="Q-6" sheetId="6" r:id="rId6"/>
  </sheets>
  <calcPr calcId="191028"/>
  <pivotCaches>
    <pivotCache cacheId="601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6" l="1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" i="6"/>
  <c r="H26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" i="6"/>
  <c r="J9" i="6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" i="5"/>
  <c r="D27" i="5"/>
  <c r="P10" i="5"/>
  <c r="I3" i="4"/>
  <c r="H2" i="4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" i="3"/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J4" i="6"/>
</calcChain>
</file>

<file path=xl/sharedStrings.xml><?xml version="1.0" encoding="utf-8"?>
<sst xmlns="http://schemas.openxmlformats.org/spreadsheetml/2006/main" count="317" uniqueCount="47">
  <si>
    <t>Employee_ID</t>
  </si>
  <si>
    <t>Name</t>
  </si>
  <si>
    <t>Department</t>
  </si>
  <si>
    <t>Hours_Worked</t>
  </si>
  <si>
    <t>Tasks_Completed</t>
  </si>
  <si>
    <t>Productivity_Score</t>
  </si>
  <si>
    <t>Performance_Rating</t>
  </si>
  <si>
    <t>Rahul</t>
  </si>
  <si>
    <t>IT</t>
  </si>
  <si>
    <t>Tanya</t>
  </si>
  <si>
    <t>Rakesh</t>
  </si>
  <si>
    <t>Neeraj</t>
  </si>
  <si>
    <t>Marketing</t>
  </si>
  <si>
    <t>Riya</t>
  </si>
  <si>
    <t>Pooja</t>
  </si>
  <si>
    <t>Arjun</t>
  </si>
  <si>
    <t>Kunal</t>
  </si>
  <si>
    <t>Meera</t>
  </si>
  <si>
    <t>Deepak</t>
  </si>
  <si>
    <t>Sales</t>
  </si>
  <si>
    <t>Anjali</t>
  </si>
  <si>
    <t>Neha</t>
  </si>
  <si>
    <t>Sneha</t>
  </si>
  <si>
    <t>Aakash</t>
  </si>
  <si>
    <t>Suman</t>
  </si>
  <si>
    <t>Akash</t>
  </si>
  <si>
    <t>Varun</t>
  </si>
  <si>
    <t>HR</t>
  </si>
  <si>
    <t>Jyoti</t>
  </si>
  <si>
    <t>Sanjay</t>
  </si>
  <si>
    <t>Suresh</t>
  </si>
  <si>
    <t>Amit</t>
  </si>
  <si>
    <t>Finance</t>
  </si>
  <si>
    <t>Priya</t>
  </si>
  <si>
    <t>Mohan</t>
  </si>
  <si>
    <t>Kavita</t>
  </si>
  <si>
    <t>Prakash</t>
  </si>
  <si>
    <t>Q-1</t>
  </si>
  <si>
    <t>Row Labels</t>
  </si>
  <si>
    <t>StdDevp of Productivity_Score</t>
  </si>
  <si>
    <t>Grand Total</t>
  </si>
  <si>
    <t>PEI</t>
  </si>
  <si>
    <t>Rank</t>
  </si>
  <si>
    <t>Underutilized_High_Performer</t>
  </si>
  <si>
    <t xml:space="preserve"> Performance Rating ≥ 4</t>
  </si>
  <si>
    <t xml:space="preserve"> less than the average hours</t>
  </si>
  <si>
    <t>Task_per_hour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</si>
</sst>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504D"/>
        <bgColor rgb="FFC0504D"/>
      </patternFill>
    </fill>
    <fill>
      <patternFill patternType="solid">
        <fgColor rgb="FFF2DCDB"/>
        <bgColor rgb="FFF2DCDB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Sheet1!$F$31</c:f>
              <c:strCache>
                <c:ptCount val="1"/>
                <c:pt idx="0">
                  <c:v>Productivity_Score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Sheet1!$B$32:$B$36</c:f>
              <c:strCache>
                <c:ptCount val="5"/>
                <c:pt idx="0">
                  <c:v>Rahul</c:v>
                </c:pt>
                <c:pt idx="1">
                  <c:v>Tanya</c:v>
                </c:pt>
                <c:pt idx="2">
                  <c:v>Rakesh</c:v>
                </c:pt>
                <c:pt idx="3">
                  <c:v>Neeraj</c:v>
                </c:pt>
                <c:pt idx="4">
                  <c:v>Riya</c:v>
                </c:pt>
              </c:strCache>
            </c:strRef>
          </c:cat>
          <c:val>
            <c:numRef>
              <c:f>Sheet1!$F$32:$F$36</c:f>
              <c:numCache>
                <c:formatCode>General</c:formatCode>
                <c:ptCount val="5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96</c:v>
                </c:pt>
                <c:pt idx="4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23-4B82-9C73-3EC9A81A02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1094592"/>
        <c:axId val="1368766288"/>
      </c:barChart>
      <c:catAx>
        <c:axId val="141109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766288"/>
        <c:crosses val="autoZero"/>
        <c:auto val="1"/>
        <c:lblAlgn val="ctr"/>
        <c:lblOffset val="100"/>
        <c:noMultiLvlLbl val="0"/>
      </c:catAx>
      <c:valAx>
        <c:axId val="136876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09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[Assignment-1.xlsx]Q-2!PivotTable1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'Q-2'!$B$3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'Q-2'!$A$4:$A$9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'Q-2'!$B$4:$B$9</c:f>
              <c:numCache>
                <c:formatCode>General</c:formatCode>
                <c:ptCount val="5"/>
                <c:pt idx="0">
                  <c:v>2.9580398915498081</c:v>
                </c:pt>
                <c:pt idx="1">
                  <c:v>3.54400902933387</c:v>
                </c:pt>
                <c:pt idx="2">
                  <c:v>4.7074409183759283</c:v>
                </c:pt>
                <c:pt idx="3">
                  <c:v>2</c:v>
                </c:pt>
                <c:pt idx="4">
                  <c:v>4.3748015828022293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33-42D9-80E0-9F37DBDBF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4068400"/>
        <c:axId val="1514064560"/>
      </c:barChart>
      <c:catAx>
        <c:axId val="151406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064560"/>
        <c:crosses val="autoZero"/>
        <c:auto val="1"/>
        <c:lblAlgn val="ctr"/>
        <c:lblOffset val="100"/>
        <c:noMultiLvlLbl val="0"/>
      </c:catAx>
      <c:valAx>
        <c:axId val="151406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06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'Q-4'!$A$1:$C$26</c:f>
              <c:multiLvlStrCache>
                <c:ptCount val="26"/>
                <c:lvl>
                  <c:pt idx="0">
                    <c:v>Department</c:v>
                  </c:pt>
                  <c:pt idx="1">
                    <c:v>IT</c:v>
                  </c:pt>
                  <c:pt idx="2">
                    <c:v>IT</c:v>
                  </c:pt>
                  <c:pt idx="3">
                    <c:v>IT</c:v>
                  </c:pt>
                  <c:pt idx="4">
                    <c:v>Marketing</c:v>
                  </c:pt>
                  <c:pt idx="5">
                    <c:v>IT</c:v>
                  </c:pt>
                  <c:pt idx="6">
                    <c:v>Marketing</c:v>
                  </c:pt>
                  <c:pt idx="7">
                    <c:v>Marketing</c:v>
                  </c:pt>
                  <c:pt idx="8">
                    <c:v>Marketing</c:v>
                  </c:pt>
                  <c:pt idx="9">
                    <c:v>Marketing</c:v>
                  </c:pt>
                  <c:pt idx="10">
                    <c:v>Sales</c:v>
                  </c:pt>
                  <c:pt idx="11">
                    <c:v>IT</c:v>
                  </c:pt>
                  <c:pt idx="12">
                    <c:v>Sales</c:v>
                  </c:pt>
                  <c:pt idx="13">
                    <c:v>Sales</c:v>
                  </c:pt>
                  <c:pt idx="14">
                    <c:v>Sales</c:v>
                  </c:pt>
                  <c:pt idx="15">
                    <c:v>Sales</c:v>
                  </c:pt>
                  <c:pt idx="16">
                    <c:v>Sales</c:v>
                  </c:pt>
                  <c:pt idx="17">
                    <c:v>HR</c:v>
                  </c:pt>
                  <c:pt idx="18">
                    <c:v>HR</c:v>
                  </c:pt>
                  <c:pt idx="19">
                    <c:v>HR</c:v>
                  </c:pt>
                  <c:pt idx="20">
                    <c:v>HR</c:v>
                  </c:pt>
                  <c:pt idx="21">
                    <c:v>Finance</c:v>
                  </c:pt>
                  <c:pt idx="22">
                    <c:v>HR</c:v>
                  </c:pt>
                  <c:pt idx="23">
                    <c:v>Finance</c:v>
                  </c:pt>
                  <c:pt idx="24">
                    <c:v>Finance</c:v>
                  </c:pt>
                  <c:pt idx="25">
                    <c:v>Finance</c:v>
                  </c:pt>
                </c:lvl>
                <c:lvl>
                  <c:pt idx="0">
                    <c:v>Name</c:v>
                  </c:pt>
                  <c:pt idx="1">
                    <c:v>Rahul</c:v>
                  </c:pt>
                  <c:pt idx="2">
                    <c:v>Tanya</c:v>
                  </c:pt>
                  <c:pt idx="3">
                    <c:v>Rakesh</c:v>
                  </c:pt>
                  <c:pt idx="4">
                    <c:v>Neeraj</c:v>
                  </c:pt>
                  <c:pt idx="5">
                    <c:v>Riya</c:v>
                  </c:pt>
                  <c:pt idx="6">
                    <c:v>Pooja</c:v>
                  </c:pt>
                  <c:pt idx="7">
                    <c:v>Arjun</c:v>
                  </c:pt>
                  <c:pt idx="8">
                    <c:v>Kunal</c:v>
                  </c:pt>
                  <c:pt idx="9">
                    <c:v>Meera</c:v>
                  </c:pt>
                  <c:pt idx="10">
                    <c:v>Deepak</c:v>
                  </c:pt>
                  <c:pt idx="11">
                    <c:v>Anjali</c:v>
                  </c:pt>
                  <c:pt idx="12">
                    <c:v>Neha</c:v>
                  </c:pt>
                  <c:pt idx="13">
                    <c:v>Sneha</c:v>
                  </c:pt>
                  <c:pt idx="14">
                    <c:v>Aakash</c:v>
                  </c:pt>
                  <c:pt idx="15">
                    <c:v>Suman</c:v>
                  </c:pt>
                  <c:pt idx="16">
                    <c:v>Akash</c:v>
                  </c:pt>
                  <c:pt idx="17">
                    <c:v>Varun</c:v>
                  </c:pt>
                  <c:pt idx="18">
                    <c:v>Jyoti</c:v>
                  </c:pt>
                  <c:pt idx="19">
                    <c:v>Sanjay</c:v>
                  </c:pt>
                  <c:pt idx="20">
                    <c:v>Suresh</c:v>
                  </c:pt>
                  <c:pt idx="21">
                    <c:v>Amit</c:v>
                  </c:pt>
                  <c:pt idx="22">
                    <c:v>Priya</c:v>
                  </c:pt>
                  <c:pt idx="23">
                    <c:v>Mohan</c:v>
                  </c:pt>
                  <c:pt idx="24">
                    <c:v>Kavita</c:v>
                  </c:pt>
                  <c:pt idx="25">
                    <c:v>Prakash</c:v>
                  </c:pt>
                </c:lvl>
                <c:lvl>
                  <c:pt idx="0">
                    <c:v>Employee_ID</c:v>
                  </c:pt>
                  <c:pt idx="1">
                    <c:v>107</c:v>
                  </c:pt>
                  <c:pt idx="2">
                    <c:v>125</c:v>
                  </c:pt>
                  <c:pt idx="3">
                    <c:v>115</c:v>
                  </c:pt>
                  <c:pt idx="4">
                    <c:v>123</c:v>
                  </c:pt>
                  <c:pt idx="5">
                    <c:v>104</c:v>
                  </c:pt>
                  <c:pt idx="6">
                    <c:v>112</c:v>
                  </c:pt>
                  <c:pt idx="7">
                    <c:v>118</c:v>
                  </c:pt>
                  <c:pt idx="8">
                    <c:v>109</c:v>
                  </c:pt>
                  <c:pt idx="9">
                    <c:v>102</c:v>
                  </c:pt>
                  <c:pt idx="10">
                    <c:v>114</c:v>
                  </c:pt>
                  <c:pt idx="11">
                    <c:v>119</c:v>
                  </c:pt>
                  <c:pt idx="12">
                    <c:v>106</c:v>
                  </c:pt>
                  <c:pt idx="13">
                    <c:v>110</c:v>
                  </c:pt>
                  <c:pt idx="14">
                    <c:v>101</c:v>
                  </c:pt>
                  <c:pt idx="15">
                    <c:v>120</c:v>
                  </c:pt>
                  <c:pt idx="16">
                    <c:v>124</c:v>
                  </c:pt>
                  <c:pt idx="17">
                    <c:v>113</c:v>
                  </c:pt>
                  <c:pt idx="18">
                    <c:v>122</c:v>
                  </c:pt>
                  <c:pt idx="19">
                    <c:v>117</c:v>
                  </c:pt>
                  <c:pt idx="20">
                    <c:v>103</c:v>
                  </c:pt>
                  <c:pt idx="21">
                    <c:v>111</c:v>
                  </c:pt>
                  <c:pt idx="22">
                    <c:v>108</c:v>
                  </c:pt>
                  <c:pt idx="23">
                    <c:v>121</c:v>
                  </c:pt>
                  <c:pt idx="24">
                    <c:v>116</c:v>
                  </c:pt>
                  <c:pt idx="25">
                    <c:v>105</c:v>
                  </c:pt>
                </c:lvl>
              </c:multiLvlStrCache>
            </c:multiLvlStrRef>
          </c:xVal>
          <c:yVal>
            <c:numRef>
              <c:f>'Q-4'!$D$1:$D$26</c:f>
              <c:numCache>
                <c:formatCode>General</c:formatCode>
                <c:ptCount val="26"/>
                <c:pt idx="0">
                  <c:v>0</c:v>
                </c:pt>
                <c:pt idx="1">
                  <c:v>50</c:v>
                </c:pt>
                <c:pt idx="2">
                  <c:v>47</c:v>
                </c:pt>
                <c:pt idx="3">
                  <c:v>48</c:v>
                </c:pt>
                <c:pt idx="4">
                  <c:v>46</c:v>
                </c:pt>
                <c:pt idx="5">
                  <c:v>45</c:v>
                </c:pt>
                <c:pt idx="6">
                  <c:v>44</c:v>
                </c:pt>
                <c:pt idx="7">
                  <c:v>43</c:v>
                </c:pt>
                <c:pt idx="8">
                  <c:v>42</c:v>
                </c:pt>
                <c:pt idx="9">
                  <c:v>40</c:v>
                </c:pt>
                <c:pt idx="10">
                  <c:v>41</c:v>
                </c:pt>
                <c:pt idx="11">
                  <c:v>39</c:v>
                </c:pt>
                <c:pt idx="12">
                  <c:v>38</c:v>
                </c:pt>
                <c:pt idx="13">
                  <c:v>37</c:v>
                </c:pt>
                <c:pt idx="14">
                  <c:v>35</c:v>
                </c:pt>
                <c:pt idx="15">
                  <c:v>36</c:v>
                </c:pt>
                <c:pt idx="16">
                  <c:v>34</c:v>
                </c:pt>
                <c:pt idx="17">
                  <c:v>33</c:v>
                </c:pt>
                <c:pt idx="18">
                  <c:v>32</c:v>
                </c:pt>
                <c:pt idx="19">
                  <c:v>31</c:v>
                </c:pt>
                <c:pt idx="20">
                  <c:v>30</c:v>
                </c:pt>
                <c:pt idx="21">
                  <c:v>29</c:v>
                </c:pt>
                <c:pt idx="22">
                  <c:v>28</c:v>
                </c:pt>
                <c:pt idx="23">
                  <c:v>27</c:v>
                </c:pt>
                <c:pt idx="24">
                  <c:v>26</c:v>
                </c:pt>
                <c:pt idx="25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28-44B9-842D-F21D66081E01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multiLvlStrRef>
              <c:f>'Q-4'!$A$1:$C$26</c:f>
              <c:multiLvlStrCache>
                <c:ptCount val="26"/>
                <c:lvl>
                  <c:pt idx="0">
                    <c:v>Department</c:v>
                  </c:pt>
                  <c:pt idx="1">
                    <c:v>IT</c:v>
                  </c:pt>
                  <c:pt idx="2">
                    <c:v>IT</c:v>
                  </c:pt>
                  <c:pt idx="3">
                    <c:v>IT</c:v>
                  </c:pt>
                  <c:pt idx="4">
                    <c:v>Marketing</c:v>
                  </c:pt>
                  <c:pt idx="5">
                    <c:v>IT</c:v>
                  </c:pt>
                  <c:pt idx="6">
                    <c:v>Marketing</c:v>
                  </c:pt>
                  <c:pt idx="7">
                    <c:v>Marketing</c:v>
                  </c:pt>
                  <c:pt idx="8">
                    <c:v>Marketing</c:v>
                  </c:pt>
                  <c:pt idx="9">
                    <c:v>Marketing</c:v>
                  </c:pt>
                  <c:pt idx="10">
                    <c:v>Sales</c:v>
                  </c:pt>
                  <c:pt idx="11">
                    <c:v>IT</c:v>
                  </c:pt>
                  <c:pt idx="12">
                    <c:v>Sales</c:v>
                  </c:pt>
                  <c:pt idx="13">
                    <c:v>Sales</c:v>
                  </c:pt>
                  <c:pt idx="14">
                    <c:v>Sales</c:v>
                  </c:pt>
                  <c:pt idx="15">
                    <c:v>Sales</c:v>
                  </c:pt>
                  <c:pt idx="16">
                    <c:v>Sales</c:v>
                  </c:pt>
                  <c:pt idx="17">
                    <c:v>HR</c:v>
                  </c:pt>
                  <c:pt idx="18">
                    <c:v>HR</c:v>
                  </c:pt>
                  <c:pt idx="19">
                    <c:v>HR</c:v>
                  </c:pt>
                  <c:pt idx="20">
                    <c:v>HR</c:v>
                  </c:pt>
                  <c:pt idx="21">
                    <c:v>Finance</c:v>
                  </c:pt>
                  <c:pt idx="22">
                    <c:v>HR</c:v>
                  </c:pt>
                  <c:pt idx="23">
                    <c:v>Finance</c:v>
                  </c:pt>
                  <c:pt idx="24">
                    <c:v>Finance</c:v>
                  </c:pt>
                  <c:pt idx="25">
                    <c:v>Finance</c:v>
                  </c:pt>
                </c:lvl>
                <c:lvl>
                  <c:pt idx="0">
                    <c:v>Name</c:v>
                  </c:pt>
                  <c:pt idx="1">
                    <c:v>Rahul</c:v>
                  </c:pt>
                  <c:pt idx="2">
                    <c:v>Tanya</c:v>
                  </c:pt>
                  <c:pt idx="3">
                    <c:v>Rakesh</c:v>
                  </c:pt>
                  <c:pt idx="4">
                    <c:v>Neeraj</c:v>
                  </c:pt>
                  <c:pt idx="5">
                    <c:v>Riya</c:v>
                  </c:pt>
                  <c:pt idx="6">
                    <c:v>Pooja</c:v>
                  </c:pt>
                  <c:pt idx="7">
                    <c:v>Arjun</c:v>
                  </c:pt>
                  <c:pt idx="8">
                    <c:v>Kunal</c:v>
                  </c:pt>
                  <c:pt idx="9">
                    <c:v>Meera</c:v>
                  </c:pt>
                  <c:pt idx="10">
                    <c:v>Deepak</c:v>
                  </c:pt>
                  <c:pt idx="11">
                    <c:v>Anjali</c:v>
                  </c:pt>
                  <c:pt idx="12">
                    <c:v>Neha</c:v>
                  </c:pt>
                  <c:pt idx="13">
                    <c:v>Sneha</c:v>
                  </c:pt>
                  <c:pt idx="14">
                    <c:v>Aakash</c:v>
                  </c:pt>
                  <c:pt idx="15">
                    <c:v>Suman</c:v>
                  </c:pt>
                  <c:pt idx="16">
                    <c:v>Akash</c:v>
                  </c:pt>
                  <c:pt idx="17">
                    <c:v>Varun</c:v>
                  </c:pt>
                  <c:pt idx="18">
                    <c:v>Jyoti</c:v>
                  </c:pt>
                  <c:pt idx="19">
                    <c:v>Sanjay</c:v>
                  </c:pt>
                  <c:pt idx="20">
                    <c:v>Suresh</c:v>
                  </c:pt>
                  <c:pt idx="21">
                    <c:v>Amit</c:v>
                  </c:pt>
                  <c:pt idx="22">
                    <c:v>Priya</c:v>
                  </c:pt>
                  <c:pt idx="23">
                    <c:v>Mohan</c:v>
                  </c:pt>
                  <c:pt idx="24">
                    <c:v>Kavita</c:v>
                  </c:pt>
                  <c:pt idx="25">
                    <c:v>Prakash</c:v>
                  </c:pt>
                </c:lvl>
                <c:lvl>
                  <c:pt idx="0">
                    <c:v>Employee_ID</c:v>
                  </c:pt>
                  <c:pt idx="1">
                    <c:v>107</c:v>
                  </c:pt>
                  <c:pt idx="2">
                    <c:v>125</c:v>
                  </c:pt>
                  <c:pt idx="3">
                    <c:v>115</c:v>
                  </c:pt>
                  <c:pt idx="4">
                    <c:v>123</c:v>
                  </c:pt>
                  <c:pt idx="5">
                    <c:v>104</c:v>
                  </c:pt>
                  <c:pt idx="6">
                    <c:v>112</c:v>
                  </c:pt>
                  <c:pt idx="7">
                    <c:v>118</c:v>
                  </c:pt>
                  <c:pt idx="8">
                    <c:v>109</c:v>
                  </c:pt>
                  <c:pt idx="9">
                    <c:v>102</c:v>
                  </c:pt>
                  <c:pt idx="10">
                    <c:v>114</c:v>
                  </c:pt>
                  <c:pt idx="11">
                    <c:v>119</c:v>
                  </c:pt>
                  <c:pt idx="12">
                    <c:v>106</c:v>
                  </c:pt>
                  <c:pt idx="13">
                    <c:v>110</c:v>
                  </c:pt>
                  <c:pt idx="14">
                    <c:v>101</c:v>
                  </c:pt>
                  <c:pt idx="15">
                    <c:v>120</c:v>
                  </c:pt>
                  <c:pt idx="16">
                    <c:v>124</c:v>
                  </c:pt>
                  <c:pt idx="17">
                    <c:v>113</c:v>
                  </c:pt>
                  <c:pt idx="18">
                    <c:v>122</c:v>
                  </c:pt>
                  <c:pt idx="19">
                    <c:v>117</c:v>
                  </c:pt>
                  <c:pt idx="20">
                    <c:v>103</c:v>
                  </c:pt>
                  <c:pt idx="21">
                    <c:v>111</c:v>
                  </c:pt>
                  <c:pt idx="22">
                    <c:v>108</c:v>
                  </c:pt>
                  <c:pt idx="23">
                    <c:v>121</c:v>
                  </c:pt>
                  <c:pt idx="24">
                    <c:v>116</c:v>
                  </c:pt>
                  <c:pt idx="25">
                    <c:v>105</c:v>
                  </c:pt>
                </c:lvl>
              </c:multiLvlStrCache>
            </c:multiLvlStrRef>
          </c:xVal>
          <c:yVal>
            <c:numRef>
              <c:f>'Q-4'!$E$1:$E$26</c:f>
              <c:numCache>
                <c:formatCode>General</c:formatCode>
                <c:ptCount val="26"/>
                <c:pt idx="0">
                  <c:v>0</c:v>
                </c:pt>
                <c:pt idx="1">
                  <c:v>80</c:v>
                </c:pt>
                <c:pt idx="2">
                  <c:v>79</c:v>
                </c:pt>
                <c:pt idx="3">
                  <c:v>78</c:v>
                </c:pt>
                <c:pt idx="4">
                  <c:v>77</c:v>
                </c:pt>
                <c:pt idx="5">
                  <c:v>75</c:v>
                </c:pt>
                <c:pt idx="6">
                  <c:v>73</c:v>
                </c:pt>
                <c:pt idx="7">
                  <c:v>75</c:v>
                </c:pt>
                <c:pt idx="8">
                  <c:v>70</c:v>
                </c:pt>
                <c:pt idx="9">
                  <c:v>65</c:v>
                </c:pt>
                <c:pt idx="10">
                  <c:v>66</c:v>
                </c:pt>
                <c:pt idx="11">
                  <c:v>60</c:v>
                </c:pt>
                <c:pt idx="12">
                  <c:v>58</c:v>
                </c:pt>
                <c:pt idx="13">
                  <c:v>55</c:v>
                </c:pt>
                <c:pt idx="14">
                  <c:v>50</c:v>
                </c:pt>
                <c:pt idx="15">
                  <c:v>52</c:v>
                </c:pt>
                <c:pt idx="16">
                  <c:v>48</c:v>
                </c:pt>
                <c:pt idx="17">
                  <c:v>45</c:v>
                </c:pt>
                <c:pt idx="18">
                  <c:v>44</c:v>
                </c:pt>
                <c:pt idx="19">
                  <c:v>42</c:v>
                </c:pt>
                <c:pt idx="20">
                  <c:v>40</c:v>
                </c:pt>
                <c:pt idx="21">
                  <c:v>38</c:v>
                </c:pt>
                <c:pt idx="22">
                  <c:v>35</c:v>
                </c:pt>
                <c:pt idx="23">
                  <c:v>34</c:v>
                </c:pt>
                <c:pt idx="24">
                  <c:v>32</c:v>
                </c:pt>
                <c:pt idx="25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28-44B9-842D-F21D66081E01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multiLvlStrRef>
              <c:f>'Q-4'!$A$1:$C$26</c:f>
              <c:multiLvlStrCache>
                <c:ptCount val="26"/>
                <c:lvl>
                  <c:pt idx="0">
                    <c:v>Department</c:v>
                  </c:pt>
                  <c:pt idx="1">
                    <c:v>IT</c:v>
                  </c:pt>
                  <c:pt idx="2">
                    <c:v>IT</c:v>
                  </c:pt>
                  <c:pt idx="3">
                    <c:v>IT</c:v>
                  </c:pt>
                  <c:pt idx="4">
                    <c:v>Marketing</c:v>
                  </c:pt>
                  <c:pt idx="5">
                    <c:v>IT</c:v>
                  </c:pt>
                  <c:pt idx="6">
                    <c:v>Marketing</c:v>
                  </c:pt>
                  <c:pt idx="7">
                    <c:v>Marketing</c:v>
                  </c:pt>
                  <c:pt idx="8">
                    <c:v>Marketing</c:v>
                  </c:pt>
                  <c:pt idx="9">
                    <c:v>Marketing</c:v>
                  </c:pt>
                  <c:pt idx="10">
                    <c:v>Sales</c:v>
                  </c:pt>
                  <c:pt idx="11">
                    <c:v>IT</c:v>
                  </c:pt>
                  <c:pt idx="12">
                    <c:v>Sales</c:v>
                  </c:pt>
                  <c:pt idx="13">
                    <c:v>Sales</c:v>
                  </c:pt>
                  <c:pt idx="14">
                    <c:v>Sales</c:v>
                  </c:pt>
                  <c:pt idx="15">
                    <c:v>Sales</c:v>
                  </c:pt>
                  <c:pt idx="16">
                    <c:v>Sales</c:v>
                  </c:pt>
                  <c:pt idx="17">
                    <c:v>HR</c:v>
                  </c:pt>
                  <c:pt idx="18">
                    <c:v>HR</c:v>
                  </c:pt>
                  <c:pt idx="19">
                    <c:v>HR</c:v>
                  </c:pt>
                  <c:pt idx="20">
                    <c:v>HR</c:v>
                  </c:pt>
                  <c:pt idx="21">
                    <c:v>Finance</c:v>
                  </c:pt>
                  <c:pt idx="22">
                    <c:v>HR</c:v>
                  </c:pt>
                  <c:pt idx="23">
                    <c:v>Finance</c:v>
                  </c:pt>
                  <c:pt idx="24">
                    <c:v>Finance</c:v>
                  </c:pt>
                  <c:pt idx="25">
                    <c:v>Finance</c:v>
                  </c:pt>
                </c:lvl>
                <c:lvl>
                  <c:pt idx="0">
                    <c:v>Name</c:v>
                  </c:pt>
                  <c:pt idx="1">
                    <c:v>Rahul</c:v>
                  </c:pt>
                  <c:pt idx="2">
                    <c:v>Tanya</c:v>
                  </c:pt>
                  <c:pt idx="3">
                    <c:v>Rakesh</c:v>
                  </c:pt>
                  <c:pt idx="4">
                    <c:v>Neeraj</c:v>
                  </c:pt>
                  <c:pt idx="5">
                    <c:v>Riya</c:v>
                  </c:pt>
                  <c:pt idx="6">
                    <c:v>Pooja</c:v>
                  </c:pt>
                  <c:pt idx="7">
                    <c:v>Arjun</c:v>
                  </c:pt>
                  <c:pt idx="8">
                    <c:v>Kunal</c:v>
                  </c:pt>
                  <c:pt idx="9">
                    <c:v>Meera</c:v>
                  </c:pt>
                  <c:pt idx="10">
                    <c:v>Deepak</c:v>
                  </c:pt>
                  <c:pt idx="11">
                    <c:v>Anjali</c:v>
                  </c:pt>
                  <c:pt idx="12">
                    <c:v>Neha</c:v>
                  </c:pt>
                  <c:pt idx="13">
                    <c:v>Sneha</c:v>
                  </c:pt>
                  <c:pt idx="14">
                    <c:v>Aakash</c:v>
                  </c:pt>
                  <c:pt idx="15">
                    <c:v>Suman</c:v>
                  </c:pt>
                  <c:pt idx="16">
                    <c:v>Akash</c:v>
                  </c:pt>
                  <c:pt idx="17">
                    <c:v>Varun</c:v>
                  </c:pt>
                  <c:pt idx="18">
                    <c:v>Jyoti</c:v>
                  </c:pt>
                  <c:pt idx="19">
                    <c:v>Sanjay</c:v>
                  </c:pt>
                  <c:pt idx="20">
                    <c:v>Suresh</c:v>
                  </c:pt>
                  <c:pt idx="21">
                    <c:v>Amit</c:v>
                  </c:pt>
                  <c:pt idx="22">
                    <c:v>Priya</c:v>
                  </c:pt>
                  <c:pt idx="23">
                    <c:v>Mohan</c:v>
                  </c:pt>
                  <c:pt idx="24">
                    <c:v>Kavita</c:v>
                  </c:pt>
                  <c:pt idx="25">
                    <c:v>Prakash</c:v>
                  </c:pt>
                </c:lvl>
                <c:lvl>
                  <c:pt idx="0">
                    <c:v>Employee_ID</c:v>
                  </c:pt>
                  <c:pt idx="1">
                    <c:v>107</c:v>
                  </c:pt>
                  <c:pt idx="2">
                    <c:v>125</c:v>
                  </c:pt>
                  <c:pt idx="3">
                    <c:v>115</c:v>
                  </c:pt>
                  <c:pt idx="4">
                    <c:v>123</c:v>
                  </c:pt>
                  <c:pt idx="5">
                    <c:v>104</c:v>
                  </c:pt>
                  <c:pt idx="6">
                    <c:v>112</c:v>
                  </c:pt>
                  <c:pt idx="7">
                    <c:v>118</c:v>
                  </c:pt>
                  <c:pt idx="8">
                    <c:v>109</c:v>
                  </c:pt>
                  <c:pt idx="9">
                    <c:v>102</c:v>
                  </c:pt>
                  <c:pt idx="10">
                    <c:v>114</c:v>
                  </c:pt>
                  <c:pt idx="11">
                    <c:v>119</c:v>
                  </c:pt>
                  <c:pt idx="12">
                    <c:v>106</c:v>
                  </c:pt>
                  <c:pt idx="13">
                    <c:v>110</c:v>
                  </c:pt>
                  <c:pt idx="14">
                    <c:v>101</c:v>
                  </c:pt>
                  <c:pt idx="15">
                    <c:v>120</c:v>
                  </c:pt>
                  <c:pt idx="16">
                    <c:v>124</c:v>
                  </c:pt>
                  <c:pt idx="17">
                    <c:v>113</c:v>
                  </c:pt>
                  <c:pt idx="18">
                    <c:v>122</c:v>
                  </c:pt>
                  <c:pt idx="19">
                    <c:v>117</c:v>
                  </c:pt>
                  <c:pt idx="20">
                    <c:v>103</c:v>
                  </c:pt>
                  <c:pt idx="21">
                    <c:v>111</c:v>
                  </c:pt>
                  <c:pt idx="22">
                    <c:v>108</c:v>
                  </c:pt>
                  <c:pt idx="23">
                    <c:v>121</c:v>
                  </c:pt>
                  <c:pt idx="24">
                    <c:v>116</c:v>
                  </c:pt>
                  <c:pt idx="25">
                    <c:v>105</c:v>
                  </c:pt>
                </c:lvl>
              </c:multiLvlStrCache>
            </c:multiLvlStrRef>
          </c:xVal>
          <c:yVal>
            <c:numRef>
              <c:f>'Q-4'!$F$1:$F$26</c:f>
              <c:numCache>
                <c:formatCode>General</c:formatCode>
                <c:ptCount val="26"/>
                <c:pt idx="0">
                  <c:v>0</c:v>
                </c:pt>
                <c:pt idx="1">
                  <c:v>100</c:v>
                </c:pt>
                <c:pt idx="2">
                  <c:v>99</c:v>
                </c:pt>
                <c:pt idx="3">
                  <c:v>98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90</c:v>
                </c:pt>
                <c:pt idx="10">
                  <c:v>89</c:v>
                </c:pt>
                <c:pt idx="11">
                  <c:v>87</c:v>
                </c:pt>
                <c:pt idx="12">
                  <c:v>85</c:v>
                </c:pt>
                <c:pt idx="13">
                  <c:v>83</c:v>
                </c:pt>
                <c:pt idx="14">
                  <c:v>80</c:v>
                </c:pt>
                <c:pt idx="15">
                  <c:v>78</c:v>
                </c:pt>
                <c:pt idx="16">
                  <c:v>76</c:v>
                </c:pt>
                <c:pt idx="17">
                  <c:v>75</c:v>
                </c:pt>
                <c:pt idx="18">
                  <c:v>74</c:v>
                </c:pt>
                <c:pt idx="19">
                  <c:v>72</c:v>
                </c:pt>
                <c:pt idx="20">
                  <c:v>70</c:v>
                </c:pt>
                <c:pt idx="21">
                  <c:v>68</c:v>
                </c:pt>
                <c:pt idx="22">
                  <c:v>65</c:v>
                </c:pt>
                <c:pt idx="23">
                  <c:v>64</c:v>
                </c:pt>
                <c:pt idx="24">
                  <c:v>62</c:v>
                </c:pt>
                <c:pt idx="25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28-44B9-842D-F21D66081E01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multiLvlStrRef>
              <c:f>'Q-4'!$A$1:$C$26</c:f>
              <c:multiLvlStrCache>
                <c:ptCount val="26"/>
                <c:lvl>
                  <c:pt idx="0">
                    <c:v>Department</c:v>
                  </c:pt>
                  <c:pt idx="1">
                    <c:v>IT</c:v>
                  </c:pt>
                  <c:pt idx="2">
                    <c:v>IT</c:v>
                  </c:pt>
                  <c:pt idx="3">
                    <c:v>IT</c:v>
                  </c:pt>
                  <c:pt idx="4">
                    <c:v>Marketing</c:v>
                  </c:pt>
                  <c:pt idx="5">
                    <c:v>IT</c:v>
                  </c:pt>
                  <c:pt idx="6">
                    <c:v>Marketing</c:v>
                  </c:pt>
                  <c:pt idx="7">
                    <c:v>Marketing</c:v>
                  </c:pt>
                  <c:pt idx="8">
                    <c:v>Marketing</c:v>
                  </c:pt>
                  <c:pt idx="9">
                    <c:v>Marketing</c:v>
                  </c:pt>
                  <c:pt idx="10">
                    <c:v>Sales</c:v>
                  </c:pt>
                  <c:pt idx="11">
                    <c:v>IT</c:v>
                  </c:pt>
                  <c:pt idx="12">
                    <c:v>Sales</c:v>
                  </c:pt>
                  <c:pt idx="13">
                    <c:v>Sales</c:v>
                  </c:pt>
                  <c:pt idx="14">
                    <c:v>Sales</c:v>
                  </c:pt>
                  <c:pt idx="15">
                    <c:v>Sales</c:v>
                  </c:pt>
                  <c:pt idx="16">
                    <c:v>Sales</c:v>
                  </c:pt>
                  <c:pt idx="17">
                    <c:v>HR</c:v>
                  </c:pt>
                  <c:pt idx="18">
                    <c:v>HR</c:v>
                  </c:pt>
                  <c:pt idx="19">
                    <c:v>HR</c:v>
                  </c:pt>
                  <c:pt idx="20">
                    <c:v>HR</c:v>
                  </c:pt>
                  <c:pt idx="21">
                    <c:v>Finance</c:v>
                  </c:pt>
                  <c:pt idx="22">
                    <c:v>HR</c:v>
                  </c:pt>
                  <c:pt idx="23">
                    <c:v>Finance</c:v>
                  </c:pt>
                  <c:pt idx="24">
                    <c:v>Finance</c:v>
                  </c:pt>
                  <c:pt idx="25">
                    <c:v>Finance</c:v>
                  </c:pt>
                </c:lvl>
                <c:lvl>
                  <c:pt idx="0">
                    <c:v>Name</c:v>
                  </c:pt>
                  <c:pt idx="1">
                    <c:v>Rahul</c:v>
                  </c:pt>
                  <c:pt idx="2">
                    <c:v>Tanya</c:v>
                  </c:pt>
                  <c:pt idx="3">
                    <c:v>Rakesh</c:v>
                  </c:pt>
                  <c:pt idx="4">
                    <c:v>Neeraj</c:v>
                  </c:pt>
                  <c:pt idx="5">
                    <c:v>Riya</c:v>
                  </c:pt>
                  <c:pt idx="6">
                    <c:v>Pooja</c:v>
                  </c:pt>
                  <c:pt idx="7">
                    <c:v>Arjun</c:v>
                  </c:pt>
                  <c:pt idx="8">
                    <c:v>Kunal</c:v>
                  </c:pt>
                  <c:pt idx="9">
                    <c:v>Meera</c:v>
                  </c:pt>
                  <c:pt idx="10">
                    <c:v>Deepak</c:v>
                  </c:pt>
                  <c:pt idx="11">
                    <c:v>Anjali</c:v>
                  </c:pt>
                  <c:pt idx="12">
                    <c:v>Neha</c:v>
                  </c:pt>
                  <c:pt idx="13">
                    <c:v>Sneha</c:v>
                  </c:pt>
                  <c:pt idx="14">
                    <c:v>Aakash</c:v>
                  </c:pt>
                  <c:pt idx="15">
                    <c:v>Suman</c:v>
                  </c:pt>
                  <c:pt idx="16">
                    <c:v>Akash</c:v>
                  </c:pt>
                  <c:pt idx="17">
                    <c:v>Varun</c:v>
                  </c:pt>
                  <c:pt idx="18">
                    <c:v>Jyoti</c:v>
                  </c:pt>
                  <c:pt idx="19">
                    <c:v>Sanjay</c:v>
                  </c:pt>
                  <c:pt idx="20">
                    <c:v>Suresh</c:v>
                  </c:pt>
                  <c:pt idx="21">
                    <c:v>Amit</c:v>
                  </c:pt>
                  <c:pt idx="22">
                    <c:v>Priya</c:v>
                  </c:pt>
                  <c:pt idx="23">
                    <c:v>Mohan</c:v>
                  </c:pt>
                  <c:pt idx="24">
                    <c:v>Kavita</c:v>
                  </c:pt>
                  <c:pt idx="25">
                    <c:v>Prakash</c:v>
                  </c:pt>
                </c:lvl>
                <c:lvl>
                  <c:pt idx="0">
                    <c:v>Employee_ID</c:v>
                  </c:pt>
                  <c:pt idx="1">
                    <c:v>107</c:v>
                  </c:pt>
                  <c:pt idx="2">
                    <c:v>125</c:v>
                  </c:pt>
                  <c:pt idx="3">
                    <c:v>115</c:v>
                  </c:pt>
                  <c:pt idx="4">
                    <c:v>123</c:v>
                  </c:pt>
                  <c:pt idx="5">
                    <c:v>104</c:v>
                  </c:pt>
                  <c:pt idx="6">
                    <c:v>112</c:v>
                  </c:pt>
                  <c:pt idx="7">
                    <c:v>118</c:v>
                  </c:pt>
                  <c:pt idx="8">
                    <c:v>109</c:v>
                  </c:pt>
                  <c:pt idx="9">
                    <c:v>102</c:v>
                  </c:pt>
                  <c:pt idx="10">
                    <c:v>114</c:v>
                  </c:pt>
                  <c:pt idx="11">
                    <c:v>119</c:v>
                  </c:pt>
                  <c:pt idx="12">
                    <c:v>106</c:v>
                  </c:pt>
                  <c:pt idx="13">
                    <c:v>110</c:v>
                  </c:pt>
                  <c:pt idx="14">
                    <c:v>101</c:v>
                  </c:pt>
                  <c:pt idx="15">
                    <c:v>120</c:v>
                  </c:pt>
                  <c:pt idx="16">
                    <c:v>124</c:v>
                  </c:pt>
                  <c:pt idx="17">
                    <c:v>113</c:v>
                  </c:pt>
                  <c:pt idx="18">
                    <c:v>122</c:v>
                  </c:pt>
                  <c:pt idx="19">
                    <c:v>117</c:v>
                  </c:pt>
                  <c:pt idx="20">
                    <c:v>103</c:v>
                  </c:pt>
                  <c:pt idx="21">
                    <c:v>111</c:v>
                  </c:pt>
                  <c:pt idx="22">
                    <c:v>108</c:v>
                  </c:pt>
                  <c:pt idx="23">
                    <c:v>121</c:v>
                  </c:pt>
                  <c:pt idx="24">
                    <c:v>116</c:v>
                  </c:pt>
                  <c:pt idx="25">
                    <c:v>105</c:v>
                  </c:pt>
                </c:lvl>
              </c:multiLvlStrCache>
            </c:multiLvlStrRef>
          </c:xVal>
          <c:yVal>
            <c:numRef>
              <c:f>'Q-4'!$G$1:$G$26</c:f>
              <c:numCache>
                <c:formatCode>General</c:formatCode>
                <c:ptCount val="26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28-44B9-842D-F21D66081E01}"/>
            </c:ext>
          </c:extLst>
        </c:ser>
        <c:ser>
          <c:idx val="4"/>
          <c:order val="4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multiLvlStrRef>
              <c:f>'Q-4'!$A$1:$C$26</c:f>
              <c:multiLvlStrCache>
                <c:ptCount val="26"/>
                <c:lvl>
                  <c:pt idx="0">
                    <c:v>Department</c:v>
                  </c:pt>
                  <c:pt idx="1">
                    <c:v>IT</c:v>
                  </c:pt>
                  <c:pt idx="2">
                    <c:v>IT</c:v>
                  </c:pt>
                  <c:pt idx="3">
                    <c:v>IT</c:v>
                  </c:pt>
                  <c:pt idx="4">
                    <c:v>Marketing</c:v>
                  </c:pt>
                  <c:pt idx="5">
                    <c:v>IT</c:v>
                  </c:pt>
                  <c:pt idx="6">
                    <c:v>Marketing</c:v>
                  </c:pt>
                  <c:pt idx="7">
                    <c:v>Marketing</c:v>
                  </c:pt>
                  <c:pt idx="8">
                    <c:v>Marketing</c:v>
                  </c:pt>
                  <c:pt idx="9">
                    <c:v>Marketing</c:v>
                  </c:pt>
                  <c:pt idx="10">
                    <c:v>Sales</c:v>
                  </c:pt>
                  <c:pt idx="11">
                    <c:v>IT</c:v>
                  </c:pt>
                  <c:pt idx="12">
                    <c:v>Sales</c:v>
                  </c:pt>
                  <c:pt idx="13">
                    <c:v>Sales</c:v>
                  </c:pt>
                  <c:pt idx="14">
                    <c:v>Sales</c:v>
                  </c:pt>
                  <c:pt idx="15">
                    <c:v>Sales</c:v>
                  </c:pt>
                  <c:pt idx="16">
                    <c:v>Sales</c:v>
                  </c:pt>
                  <c:pt idx="17">
                    <c:v>HR</c:v>
                  </c:pt>
                  <c:pt idx="18">
                    <c:v>HR</c:v>
                  </c:pt>
                  <c:pt idx="19">
                    <c:v>HR</c:v>
                  </c:pt>
                  <c:pt idx="20">
                    <c:v>HR</c:v>
                  </c:pt>
                  <c:pt idx="21">
                    <c:v>Finance</c:v>
                  </c:pt>
                  <c:pt idx="22">
                    <c:v>HR</c:v>
                  </c:pt>
                  <c:pt idx="23">
                    <c:v>Finance</c:v>
                  </c:pt>
                  <c:pt idx="24">
                    <c:v>Finance</c:v>
                  </c:pt>
                  <c:pt idx="25">
                    <c:v>Finance</c:v>
                  </c:pt>
                </c:lvl>
                <c:lvl>
                  <c:pt idx="0">
                    <c:v>Name</c:v>
                  </c:pt>
                  <c:pt idx="1">
                    <c:v>Rahul</c:v>
                  </c:pt>
                  <c:pt idx="2">
                    <c:v>Tanya</c:v>
                  </c:pt>
                  <c:pt idx="3">
                    <c:v>Rakesh</c:v>
                  </c:pt>
                  <c:pt idx="4">
                    <c:v>Neeraj</c:v>
                  </c:pt>
                  <c:pt idx="5">
                    <c:v>Riya</c:v>
                  </c:pt>
                  <c:pt idx="6">
                    <c:v>Pooja</c:v>
                  </c:pt>
                  <c:pt idx="7">
                    <c:v>Arjun</c:v>
                  </c:pt>
                  <c:pt idx="8">
                    <c:v>Kunal</c:v>
                  </c:pt>
                  <c:pt idx="9">
                    <c:v>Meera</c:v>
                  </c:pt>
                  <c:pt idx="10">
                    <c:v>Deepak</c:v>
                  </c:pt>
                  <c:pt idx="11">
                    <c:v>Anjali</c:v>
                  </c:pt>
                  <c:pt idx="12">
                    <c:v>Neha</c:v>
                  </c:pt>
                  <c:pt idx="13">
                    <c:v>Sneha</c:v>
                  </c:pt>
                  <c:pt idx="14">
                    <c:v>Aakash</c:v>
                  </c:pt>
                  <c:pt idx="15">
                    <c:v>Suman</c:v>
                  </c:pt>
                  <c:pt idx="16">
                    <c:v>Akash</c:v>
                  </c:pt>
                  <c:pt idx="17">
                    <c:v>Varun</c:v>
                  </c:pt>
                  <c:pt idx="18">
                    <c:v>Jyoti</c:v>
                  </c:pt>
                  <c:pt idx="19">
                    <c:v>Sanjay</c:v>
                  </c:pt>
                  <c:pt idx="20">
                    <c:v>Suresh</c:v>
                  </c:pt>
                  <c:pt idx="21">
                    <c:v>Amit</c:v>
                  </c:pt>
                  <c:pt idx="22">
                    <c:v>Priya</c:v>
                  </c:pt>
                  <c:pt idx="23">
                    <c:v>Mohan</c:v>
                  </c:pt>
                  <c:pt idx="24">
                    <c:v>Kavita</c:v>
                  </c:pt>
                  <c:pt idx="25">
                    <c:v>Prakash</c:v>
                  </c:pt>
                </c:lvl>
                <c:lvl>
                  <c:pt idx="0">
                    <c:v>Employee_ID</c:v>
                  </c:pt>
                  <c:pt idx="1">
                    <c:v>107</c:v>
                  </c:pt>
                  <c:pt idx="2">
                    <c:v>125</c:v>
                  </c:pt>
                  <c:pt idx="3">
                    <c:v>115</c:v>
                  </c:pt>
                  <c:pt idx="4">
                    <c:v>123</c:v>
                  </c:pt>
                  <c:pt idx="5">
                    <c:v>104</c:v>
                  </c:pt>
                  <c:pt idx="6">
                    <c:v>112</c:v>
                  </c:pt>
                  <c:pt idx="7">
                    <c:v>118</c:v>
                  </c:pt>
                  <c:pt idx="8">
                    <c:v>109</c:v>
                  </c:pt>
                  <c:pt idx="9">
                    <c:v>102</c:v>
                  </c:pt>
                  <c:pt idx="10">
                    <c:v>114</c:v>
                  </c:pt>
                  <c:pt idx="11">
                    <c:v>119</c:v>
                  </c:pt>
                  <c:pt idx="12">
                    <c:v>106</c:v>
                  </c:pt>
                  <c:pt idx="13">
                    <c:v>110</c:v>
                  </c:pt>
                  <c:pt idx="14">
                    <c:v>101</c:v>
                  </c:pt>
                  <c:pt idx="15">
                    <c:v>120</c:v>
                  </c:pt>
                  <c:pt idx="16">
                    <c:v>124</c:v>
                  </c:pt>
                  <c:pt idx="17">
                    <c:v>113</c:v>
                  </c:pt>
                  <c:pt idx="18">
                    <c:v>122</c:v>
                  </c:pt>
                  <c:pt idx="19">
                    <c:v>117</c:v>
                  </c:pt>
                  <c:pt idx="20">
                    <c:v>103</c:v>
                  </c:pt>
                  <c:pt idx="21">
                    <c:v>111</c:v>
                  </c:pt>
                  <c:pt idx="22">
                    <c:v>108</c:v>
                  </c:pt>
                  <c:pt idx="23">
                    <c:v>121</c:v>
                  </c:pt>
                  <c:pt idx="24">
                    <c:v>116</c:v>
                  </c:pt>
                  <c:pt idx="25">
                    <c:v>105</c:v>
                  </c:pt>
                </c:lvl>
              </c:multiLvlStrCache>
            </c:multiLvlStrRef>
          </c:xVal>
          <c:yVal>
            <c:numRef>
              <c:f>'Q-4'!$H$1:$H$26</c:f>
              <c:numCache>
                <c:formatCode>General</c:formatCode>
                <c:ptCount val="26"/>
                <c:pt idx="1">
                  <c:v>0.94623485838187738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28-44B9-842D-F21D66081E01}"/>
            </c:ext>
          </c:extLst>
        </c:ser>
        <c:ser>
          <c:idx val="5"/>
          <c:order val="5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multiLvlStrRef>
              <c:f>'Q-4'!$A$1:$C$26</c:f>
              <c:multiLvlStrCache>
                <c:ptCount val="26"/>
                <c:lvl>
                  <c:pt idx="0">
                    <c:v>Department</c:v>
                  </c:pt>
                  <c:pt idx="1">
                    <c:v>IT</c:v>
                  </c:pt>
                  <c:pt idx="2">
                    <c:v>IT</c:v>
                  </c:pt>
                  <c:pt idx="3">
                    <c:v>IT</c:v>
                  </c:pt>
                  <c:pt idx="4">
                    <c:v>Marketing</c:v>
                  </c:pt>
                  <c:pt idx="5">
                    <c:v>IT</c:v>
                  </c:pt>
                  <c:pt idx="6">
                    <c:v>Marketing</c:v>
                  </c:pt>
                  <c:pt idx="7">
                    <c:v>Marketing</c:v>
                  </c:pt>
                  <c:pt idx="8">
                    <c:v>Marketing</c:v>
                  </c:pt>
                  <c:pt idx="9">
                    <c:v>Marketing</c:v>
                  </c:pt>
                  <c:pt idx="10">
                    <c:v>Sales</c:v>
                  </c:pt>
                  <c:pt idx="11">
                    <c:v>IT</c:v>
                  </c:pt>
                  <c:pt idx="12">
                    <c:v>Sales</c:v>
                  </c:pt>
                  <c:pt idx="13">
                    <c:v>Sales</c:v>
                  </c:pt>
                  <c:pt idx="14">
                    <c:v>Sales</c:v>
                  </c:pt>
                  <c:pt idx="15">
                    <c:v>Sales</c:v>
                  </c:pt>
                  <c:pt idx="16">
                    <c:v>Sales</c:v>
                  </c:pt>
                  <c:pt idx="17">
                    <c:v>HR</c:v>
                  </c:pt>
                  <c:pt idx="18">
                    <c:v>HR</c:v>
                  </c:pt>
                  <c:pt idx="19">
                    <c:v>HR</c:v>
                  </c:pt>
                  <c:pt idx="20">
                    <c:v>HR</c:v>
                  </c:pt>
                  <c:pt idx="21">
                    <c:v>Finance</c:v>
                  </c:pt>
                  <c:pt idx="22">
                    <c:v>HR</c:v>
                  </c:pt>
                  <c:pt idx="23">
                    <c:v>Finance</c:v>
                  </c:pt>
                  <c:pt idx="24">
                    <c:v>Finance</c:v>
                  </c:pt>
                  <c:pt idx="25">
                    <c:v>Finance</c:v>
                  </c:pt>
                </c:lvl>
                <c:lvl>
                  <c:pt idx="0">
                    <c:v>Name</c:v>
                  </c:pt>
                  <c:pt idx="1">
                    <c:v>Rahul</c:v>
                  </c:pt>
                  <c:pt idx="2">
                    <c:v>Tanya</c:v>
                  </c:pt>
                  <c:pt idx="3">
                    <c:v>Rakesh</c:v>
                  </c:pt>
                  <c:pt idx="4">
                    <c:v>Neeraj</c:v>
                  </c:pt>
                  <c:pt idx="5">
                    <c:v>Riya</c:v>
                  </c:pt>
                  <c:pt idx="6">
                    <c:v>Pooja</c:v>
                  </c:pt>
                  <c:pt idx="7">
                    <c:v>Arjun</c:v>
                  </c:pt>
                  <c:pt idx="8">
                    <c:v>Kunal</c:v>
                  </c:pt>
                  <c:pt idx="9">
                    <c:v>Meera</c:v>
                  </c:pt>
                  <c:pt idx="10">
                    <c:v>Deepak</c:v>
                  </c:pt>
                  <c:pt idx="11">
                    <c:v>Anjali</c:v>
                  </c:pt>
                  <c:pt idx="12">
                    <c:v>Neha</c:v>
                  </c:pt>
                  <c:pt idx="13">
                    <c:v>Sneha</c:v>
                  </c:pt>
                  <c:pt idx="14">
                    <c:v>Aakash</c:v>
                  </c:pt>
                  <c:pt idx="15">
                    <c:v>Suman</c:v>
                  </c:pt>
                  <c:pt idx="16">
                    <c:v>Akash</c:v>
                  </c:pt>
                  <c:pt idx="17">
                    <c:v>Varun</c:v>
                  </c:pt>
                  <c:pt idx="18">
                    <c:v>Jyoti</c:v>
                  </c:pt>
                  <c:pt idx="19">
                    <c:v>Sanjay</c:v>
                  </c:pt>
                  <c:pt idx="20">
                    <c:v>Suresh</c:v>
                  </c:pt>
                  <c:pt idx="21">
                    <c:v>Amit</c:v>
                  </c:pt>
                  <c:pt idx="22">
                    <c:v>Priya</c:v>
                  </c:pt>
                  <c:pt idx="23">
                    <c:v>Mohan</c:v>
                  </c:pt>
                  <c:pt idx="24">
                    <c:v>Kavita</c:v>
                  </c:pt>
                  <c:pt idx="25">
                    <c:v>Prakash</c:v>
                  </c:pt>
                </c:lvl>
                <c:lvl>
                  <c:pt idx="0">
                    <c:v>Employee_ID</c:v>
                  </c:pt>
                  <c:pt idx="1">
                    <c:v>107</c:v>
                  </c:pt>
                  <c:pt idx="2">
                    <c:v>125</c:v>
                  </c:pt>
                  <c:pt idx="3">
                    <c:v>115</c:v>
                  </c:pt>
                  <c:pt idx="4">
                    <c:v>123</c:v>
                  </c:pt>
                  <c:pt idx="5">
                    <c:v>104</c:v>
                  </c:pt>
                  <c:pt idx="6">
                    <c:v>112</c:v>
                  </c:pt>
                  <c:pt idx="7">
                    <c:v>118</c:v>
                  </c:pt>
                  <c:pt idx="8">
                    <c:v>109</c:v>
                  </c:pt>
                  <c:pt idx="9">
                    <c:v>102</c:v>
                  </c:pt>
                  <c:pt idx="10">
                    <c:v>114</c:v>
                  </c:pt>
                  <c:pt idx="11">
                    <c:v>119</c:v>
                  </c:pt>
                  <c:pt idx="12">
                    <c:v>106</c:v>
                  </c:pt>
                  <c:pt idx="13">
                    <c:v>110</c:v>
                  </c:pt>
                  <c:pt idx="14">
                    <c:v>101</c:v>
                  </c:pt>
                  <c:pt idx="15">
                    <c:v>120</c:v>
                  </c:pt>
                  <c:pt idx="16">
                    <c:v>124</c:v>
                  </c:pt>
                  <c:pt idx="17">
                    <c:v>113</c:v>
                  </c:pt>
                  <c:pt idx="18">
                    <c:v>122</c:v>
                  </c:pt>
                  <c:pt idx="19">
                    <c:v>117</c:v>
                  </c:pt>
                  <c:pt idx="20">
                    <c:v>103</c:v>
                  </c:pt>
                  <c:pt idx="21">
                    <c:v>111</c:v>
                  </c:pt>
                  <c:pt idx="22">
                    <c:v>108</c:v>
                  </c:pt>
                  <c:pt idx="23">
                    <c:v>121</c:v>
                  </c:pt>
                  <c:pt idx="24">
                    <c:v>116</c:v>
                  </c:pt>
                  <c:pt idx="25">
                    <c:v>105</c:v>
                  </c:pt>
                </c:lvl>
              </c:multiLvlStrCache>
            </c:multiLvlStrRef>
          </c:xVal>
          <c:yVal>
            <c:numRef>
              <c:f>'Q-4'!$I$1:$I$26</c:f>
              <c:numCache>
                <c:formatCode>General</c:formatCode>
                <c:ptCount val="26"/>
                <c:pt idx="2">
                  <c:v>0.9574553703647628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28-44B9-842D-F21D66081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643840"/>
        <c:axId val="1360645280"/>
      </c:scatterChart>
      <c:valAx>
        <c:axId val="136064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645280"/>
        <c:crosses val="autoZero"/>
        <c:crossBetween val="midCat"/>
      </c:valAx>
      <c:valAx>
        <c:axId val="136064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643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Work Hours and Productivity Correlation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'Q-4'!$D$2:$D$26</c:f>
              <c:numCache>
                <c:formatCode>General</c:formatCode>
                <c:ptCount val="25"/>
                <c:pt idx="0">
                  <c:v>50</c:v>
                </c:pt>
                <c:pt idx="1">
                  <c:v>47</c:v>
                </c:pt>
                <c:pt idx="2">
                  <c:v>48</c:v>
                </c:pt>
                <c:pt idx="3">
                  <c:v>46</c:v>
                </c:pt>
                <c:pt idx="4">
                  <c:v>45</c:v>
                </c:pt>
                <c:pt idx="5">
                  <c:v>44</c:v>
                </c:pt>
                <c:pt idx="6">
                  <c:v>43</c:v>
                </c:pt>
                <c:pt idx="7">
                  <c:v>42</c:v>
                </c:pt>
                <c:pt idx="8">
                  <c:v>40</c:v>
                </c:pt>
                <c:pt idx="9">
                  <c:v>41</c:v>
                </c:pt>
                <c:pt idx="10">
                  <c:v>39</c:v>
                </c:pt>
                <c:pt idx="11">
                  <c:v>38</c:v>
                </c:pt>
                <c:pt idx="12">
                  <c:v>37</c:v>
                </c:pt>
                <c:pt idx="13">
                  <c:v>35</c:v>
                </c:pt>
                <c:pt idx="14">
                  <c:v>36</c:v>
                </c:pt>
                <c:pt idx="15">
                  <c:v>34</c:v>
                </c:pt>
                <c:pt idx="16">
                  <c:v>33</c:v>
                </c:pt>
                <c:pt idx="17">
                  <c:v>32</c:v>
                </c:pt>
                <c:pt idx="18">
                  <c:v>31</c:v>
                </c:pt>
                <c:pt idx="19">
                  <c:v>30</c:v>
                </c:pt>
                <c:pt idx="20">
                  <c:v>29</c:v>
                </c:pt>
                <c:pt idx="21">
                  <c:v>28</c:v>
                </c:pt>
                <c:pt idx="22">
                  <c:v>27</c:v>
                </c:pt>
                <c:pt idx="23">
                  <c:v>26</c:v>
                </c:pt>
                <c:pt idx="24">
                  <c:v>25</c:v>
                </c:pt>
              </c:numCache>
            </c:numRef>
          </c:xVal>
          <c:yVal>
            <c:numRef>
              <c:f>'Q-4'!$F$2:$F$26</c:f>
              <c:numCache>
                <c:formatCode>General</c:formatCode>
                <c:ptCount val="25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96</c:v>
                </c:pt>
                <c:pt idx="4">
                  <c:v>95</c:v>
                </c:pt>
                <c:pt idx="5">
                  <c:v>94</c:v>
                </c:pt>
                <c:pt idx="6">
                  <c:v>93</c:v>
                </c:pt>
                <c:pt idx="7">
                  <c:v>92</c:v>
                </c:pt>
                <c:pt idx="8">
                  <c:v>90</c:v>
                </c:pt>
                <c:pt idx="9">
                  <c:v>89</c:v>
                </c:pt>
                <c:pt idx="10">
                  <c:v>87</c:v>
                </c:pt>
                <c:pt idx="11">
                  <c:v>85</c:v>
                </c:pt>
                <c:pt idx="12">
                  <c:v>83</c:v>
                </c:pt>
                <c:pt idx="13">
                  <c:v>80</c:v>
                </c:pt>
                <c:pt idx="14">
                  <c:v>78</c:v>
                </c:pt>
                <c:pt idx="15">
                  <c:v>76</c:v>
                </c:pt>
                <c:pt idx="16">
                  <c:v>75</c:v>
                </c:pt>
                <c:pt idx="17">
                  <c:v>74</c:v>
                </c:pt>
                <c:pt idx="18">
                  <c:v>72</c:v>
                </c:pt>
                <c:pt idx="19">
                  <c:v>70</c:v>
                </c:pt>
                <c:pt idx="20">
                  <c:v>68</c:v>
                </c:pt>
                <c:pt idx="21">
                  <c:v>65</c:v>
                </c:pt>
                <c:pt idx="22">
                  <c:v>64</c:v>
                </c:pt>
                <c:pt idx="23">
                  <c:v>62</c:v>
                </c:pt>
                <c:pt idx="24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90-4F71-8947-36FEF0C20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8575888"/>
        <c:axId val="1368576368"/>
      </c:scatterChart>
      <c:valAx>
        <c:axId val="136857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Hours Worked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576368"/>
        <c:crosses val="autoZero"/>
        <c:crossBetween val="midCat"/>
      </c:valAx>
      <c:valAx>
        <c:axId val="136857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Productivity Score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575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784860</xdr:colOff>
      <xdr:row>27</xdr:row>
      <xdr:rowOff>38100</xdr:rowOff>
    </xdr:from>
    <xdr:to>
      <xdr:col>13</xdr:col>
      <xdr:colOff>144780</xdr:colOff>
      <xdr:row>41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F81B1C-1A21-B8A8-80A6-48A374AC29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76200</xdr:rowOff>
    </xdr:from>
    <xdr:to>
      <xdr:col>15</xdr:col>
      <xdr:colOff>228600</xdr:colOff>
      <xdr:row>23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CA6AE2-0F5D-578D-D331-A86C336D1A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327660</xdr:colOff>
      <xdr:row>29</xdr:row>
      <xdr:rowOff>15240</xdr:rowOff>
    </xdr:from>
    <xdr:to>
      <xdr:col>5</xdr:col>
      <xdr:colOff>777240</xdr:colOff>
      <xdr:row>45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C1872B-3B64-2481-D2C6-AFFBD766E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30480</xdr:colOff>
      <xdr:row>3</xdr:row>
      <xdr:rowOff>76200</xdr:rowOff>
    </xdr:from>
    <xdr:to>
      <xdr:col>15</xdr:col>
      <xdr:colOff>335280</xdr:colOff>
      <xdr:row>22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1E1FB9-2B7D-ECB9-4A11-38EDCD748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" refreshedDate="45916.35789861111" createdVersion="8" refreshedVersion="8" minRefreshableVersion="3" recordCount="25" xr:uid="{C6FEED1E-85D3-49EF-9220-5724950EEDEE}">
  <cacheSource type="worksheet">
    <worksheetSource ref="A1:G26" sheet="Sheet1"/>
  </cacheSource>
  <cacheFields count="7">
    <cacheField name="Employee_ID" numFmtId="0">
      <sharedItems containsSemiMixedTypes="0" containsString="0" containsNumber="1" containsInteger="1" minValue="101" maxValue="125"/>
    </cacheField>
    <cacheField name="Name" numFmtId="0">
      <sharedItems/>
    </cacheField>
    <cacheField name="Department" numFmtId="0">
      <sharedItems count="5">
        <s v="IT"/>
        <s v="Marketing"/>
        <s v="Sales"/>
        <s v="HR"/>
        <s v="Finance"/>
      </sharedItems>
    </cacheField>
    <cacheField name="Hours_Worked" numFmtId="0">
      <sharedItems containsSemiMixedTypes="0" containsString="0" containsNumber="1" containsInteger="1" minValue="25" maxValue="50"/>
    </cacheField>
    <cacheField name="Tasks_Completed" numFmtId="0">
      <sharedItems containsSemiMixedTypes="0" containsString="0" containsNumber="1" containsInteger="1" minValue="30" maxValue="80"/>
    </cacheField>
    <cacheField name="Productivity_Score" numFmtId="0">
      <sharedItems containsSemiMixedTypes="0" containsString="0" containsNumber="1" containsInteger="1" minValue="60" maxValue="100" count="25">
        <n v="100"/>
        <n v="99"/>
        <n v="98"/>
        <n v="96"/>
        <n v="95"/>
        <n v="94"/>
        <n v="93"/>
        <n v="92"/>
        <n v="90"/>
        <n v="89"/>
        <n v="87"/>
        <n v="85"/>
        <n v="83"/>
        <n v="80"/>
        <n v="78"/>
        <n v="76"/>
        <n v="75"/>
        <n v="74"/>
        <n v="72"/>
        <n v="70"/>
        <n v="68"/>
        <n v="65"/>
        <n v="64"/>
        <n v="62"/>
        <n v="60"/>
      </sharedItems>
    </cacheField>
    <cacheField name="Performance_Rating" numFmtId="0">
      <sharedItems containsSemiMixedTypes="0" containsString="0" containsNumber="1" containsInteger="1" minValue="2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107"/>
    <s v="Rahul"/>
    <x v="0"/>
    <n v="50"/>
    <n v="80"/>
    <x v="0"/>
    <n v="5"/>
  </r>
  <r>
    <n v="125"/>
    <s v="Tanya"/>
    <x v="0"/>
    <n v="47"/>
    <n v="79"/>
    <x v="1"/>
    <n v="5"/>
  </r>
  <r>
    <n v="115"/>
    <s v="Rakesh"/>
    <x v="0"/>
    <n v="48"/>
    <n v="78"/>
    <x v="2"/>
    <n v="5"/>
  </r>
  <r>
    <n v="123"/>
    <s v="Neeraj"/>
    <x v="1"/>
    <n v="46"/>
    <n v="77"/>
    <x v="3"/>
    <n v="5"/>
  </r>
  <r>
    <n v="104"/>
    <s v="Riya"/>
    <x v="0"/>
    <n v="45"/>
    <n v="75"/>
    <x v="4"/>
    <n v="5"/>
  </r>
  <r>
    <n v="112"/>
    <s v="Pooja"/>
    <x v="1"/>
    <n v="44"/>
    <n v="73"/>
    <x v="5"/>
    <n v="5"/>
  </r>
  <r>
    <n v="118"/>
    <s v="Arjun"/>
    <x v="1"/>
    <n v="43"/>
    <n v="75"/>
    <x v="6"/>
    <n v="5"/>
  </r>
  <r>
    <n v="109"/>
    <s v="Kunal"/>
    <x v="1"/>
    <n v="42"/>
    <n v="70"/>
    <x v="7"/>
    <n v="5"/>
  </r>
  <r>
    <n v="102"/>
    <s v="Meera"/>
    <x v="1"/>
    <n v="40"/>
    <n v="65"/>
    <x v="8"/>
    <n v="5"/>
  </r>
  <r>
    <n v="114"/>
    <s v="Deepak"/>
    <x v="2"/>
    <n v="41"/>
    <n v="66"/>
    <x v="9"/>
    <n v="4"/>
  </r>
  <r>
    <n v="119"/>
    <s v="Anjali"/>
    <x v="0"/>
    <n v="39"/>
    <n v="60"/>
    <x v="10"/>
    <n v="4"/>
  </r>
  <r>
    <n v="106"/>
    <s v="Neha"/>
    <x v="2"/>
    <n v="38"/>
    <n v="58"/>
    <x v="11"/>
    <n v="4"/>
  </r>
  <r>
    <n v="110"/>
    <s v="Sneha"/>
    <x v="2"/>
    <n v="37"/>
    <n v="55"/>
    <x v="12"/>
    <n v="4"/>
  </r>
  <r>
    <n v="101"/>
    <s v="Aakash"/>
    <x v="2"/>
    <n v="35"/>
    <n v="50"/>
    <x v="13"/>
    <n v="4"/>
  </r>
  <r>
    <n v="120"/>
    <s v="Suman"/>
    <x v="2"/>
    <n v="36"/>
    <n v="52"/>
    <x v="14"/>
    <n v="4"/>
  </r>
  <r>
    <n v="124"/>
    <s v="Akash"/>
    <x v="2"/>
    <n v="34"/>
    <n v="48"/>
    <x v="15"/>
    <n v="3"/>
  </r>
  <r>
    <n v="113"/>
    <s v="Varun"/>
    <x v="3"/>
    <n v="33"/>
    <n v="45"/>
    <x v="16"/>
    <n v="3"/>
  </r>
  <r>
    <n v="122"/>
    <s v="Jyoti"/>
    <x v="3"/>
    <n v="32"/>
    <n v="44"/>
    <x v="17"/>
    <n v="3"/>
  </r>
  <r>
    <n v="117"/>
    <s v="Sanjay"/>
    <x v="3"/>
    <n v="31"/>
    <n v="42"/>
    <x v="18"/>
    <n v="3"/>
  </r>
  <r>
    <n v="103"/>
    <s v="Suresh"/>
    <x v="3"/>
    <n v="30"/>
    <n v="40"/>
    <x v="19"/>
    <n v="3"/>
  </r>
  <r>
    <n v="111"/>
    <s v="Amit"/>
    <x v="4"/>
    <n v="29"/>
    <n v="38"/>
    <x v="20"/>
    <n v="3"/>
  </r>
  <r>
    <n v="108"/>
    <s v="Priya"/>
    <x v="3"/>
    <n v="28"/>
    <n v="35"/>
    <x v="21"/>
    <n v="3"/>
  </r>
  <r>
    <n v="121"/>
    <s v="Mohan"/>
    <x v="4"/>
    <n v="27"/>
    <n v="34"/>
    <x v="22"/>
    <n v="2"/>
  </r>
  <r>
    <n v="116"/>
    <s v="Kavita"/>
    <x v="4"/>
    <n v="26"/>
    <n v="32"/>
    <x v="23"/>
    <n v="2"/>
  </r>
  <r>
    <n v="105"/>
    <s v="Prakash"/>
    <x v="4"/>
    <n v="25"/>
    <n v="30"/>
    <x v="24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0E70A2-7A4B-4841-A334-2949C5536C34}" name="PivotTable1" cacheId="60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7">
    <pivotField showAll="0"/>
    <pivotField showAll="0"/>
    <pivotField axis="axisRow" showAll="0">
      <items count="6">
        <item x="4"/>
        <item x="3"/>
        <item x="0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tdDevp of Productivity_Score" fld="5" subtotal="stdDevp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6"/>
  <sheetViews>
    <sheetView tabSelected="1" topLeftCell="A8" workbookViewId="0">
      <selection activeCell="E20" sqref="E20"/>
    </sheetView>
  </sheetViews>
  <sheetFormatPr defaultColWidth="12.7109375" defaultRowHeight="15.75" customHeight="1"/>
  <cols>
    <col min="1" max="1" width="12.140625" bestFit="1" customWidth="1"/>
    <col min="2" max="2" width="7.28515625" bestFit="1" customWidth="1"/>
    <col min="3" max="3" width="11.140625" bestFit="1" customWidth="1"/>
    <col min="4" max="4" width="13.7109375" bestFit="1" customWidth="1"/>
    <col min="5" max="5" width="15.85546875" bestFit="1" customWidth="1"/>
    <col min="6" max="6" width="17" bestFit="1" customWidth="1"/>
    <col min="7" max="7" width="18.42578125" bestFit="1" customWidth="1"/>
  </cols>
  <sheetData>
    <row r="1" spans="1: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>
      <c r="A2" s="2">
        <v>107</v>
      </c>
      <c r="B2" s="2" t="s">
        <v>7</v>
      </c>
      <c r="C2" s="2" t="s">
        <v>8</v>
      </c>
      <c r="D2" s="2">
        <v>50</v>
      </c>
      <c r="E2" s="2">
        <v>80</v>
      </c>
      <c r="F2" s="2">
        <v>100</v>
      </c>
      <c r="G2" s="2">
        <v>5</v>
      </c>
    </row>
    <row r="3" spans="1:7" ht="15.75" customHeight="1">
      <c r="A3" s="2">
        <v>125</v>
      </c>
      <c r="B3" s="2" t="s">
        <v>9</v>
      </c>
      <c r="C3" s="2" t="s">
        <v>8</v>
      </c>
      <c r="D3" s="2">
        <v>47</v>
      </c>
      <c r="E3" s="2">
        <v>79</v>
      </c>
      <c r="F3" s="2">
        <v>99</v>
      </c>
      <c r="G3" s="2">
        <v>5</v>
      </c>
    </row>
    <row r="4" spans="1:7" ht="15.75" customHeight="1">
      <c r="A4" s="2">
        <v>115</v>
      </c>
      <c r="B4" s="2" t="s">
        <v>10</v>
      </c>
      <c r="C4" s="2" t="s">
        <v>8</v>
      </c>
      <c r="D4" s="2">
        <v>48</v>
      </c>
      <c r="E4" s="2">
        <v>78</v>
      </c>
      <c r="F4" s="2">
        <v>98</v>
      </c>
      <c r="G4" s="2">
        <v>5</v>
      </c>
    </row>
    <row r="5" spans="1:7" ht="15.75" customHeight="1">
      <c r="A5" s="2">
        <v>123</v>
      </c>
      <c r="B5" s="2" t="s">
        <v>11</v>
      </c>
      <c r="C5" s="2" t="s">
        <v>12</v>
      </c>
      <c r="D5" s="2">
        <v>46</v>
      </c>
      <c r="E5" s="2">
        <v>77</v>
      </c>
      <c r="F5" s="2">
        <v>96</v>
      </c>
      <c r="G5" s="2">
        <v>5</v>
      </c>
    </row>
    <row r="6" spans="1:7" ht="15.75" customHeight="1">
      <c r="A6" s="3">
        <v>104</v>
      </c>
      <c r="B6" s="3" t="s">
        <v>13</v>
      </c>
      <c r="C6" s="3" t="s">
        <v>8</v>
      </c>
      <c r="D6" s="3">
        <v>45</v>
      </c>
      <c r="E6" s="3">
        <v>75</v>
      </c>
      <c r="F6" s="3">
        <v>95</v>
      </c>
      <c r="G6" s="3">
        <v>5</v>
      </c>
    </row>
    <row r="7" spans="1:7" ht="15.75" customHeight="1">
      <c r="A7" s="3">
        <v>112</v>
      </c>
      <c r="B7" s="3" t="s">
        <v>14</v>
      </c>
      <c r="C7" s="3" t="s">
        <v>12</v>
      </c>
      <c r="D7" s="3">
        <v>44</v>
      </c>
      <c r="E7" s="3">
        <v>73</v>
      </c>
      <c r="F7" s="3">
        <v>94</v>
      </c>
      <c r="G7" s="3">
        <v>5</v>
      </c>
    </row>
    <row r="8" spans="1:7" ht="15.75" customHeight="1">
      <c r="A8" s="3">
        <v>118</v>
      </c>
      <c r="B8" s="3" t="s">
        <v>15</v>
      </c>
      <c r="C8" s="3" t="s">
        <v>12</v>
      </c>
      <c r="D8" s="3">
        <v>43</v>
      </c>
      <c r="E8" s="3">
        <v>75</v>
      </c>
      <c r="F8" s="3">
        <v>93</v>
      </c>
      <c r="G8" s="3">
        <v>5</v>
      </c>
    </row>
    <row r="9" spans="1:7" ht="15.75" customHeight="1">
      <c r="A9" s="2">
        <v>109</v>
      </c>
      <c r="B9" s="2" t="s">
        <v>16</v>
      </c>
      <c r="C9" s="2" t="s">
        <v>12</v>
      </c>
      <c r="D9" s="2">
        <v>42</v>
      </c>
      <c r="E9" s="2">
        <v>70</v>
      </c>
      <c r="F9" s="2">
        <v>92</v>
      </c>
      <c r="G9" s="2">
        <v>5</v>
      </c>
    </row>
    <row r="10" spans="1:7" ht="15.75" customHeight="1">
      <c r="A10" s="3">
        <v>102</v>
      </c>
      <c r="B10" s="3" t="s">
        <v>17</v>
      </c>
      <c r="C10" s="3" t="s">
        <v>12</v>
      </c>
      <c r="D10" s="3">
        <v>40</v>
      </c>
      <c r="E10" s="3">
        <v>65</v>
      </c>
      <c r="F10" s="3">
        <v>90</v>
      </c>
      <c r="G10" s="3">
        <v>5</v>
      </c>
    </row>
    <row r="11" spans="1:7" ht="15.75" customHeight="1">
      <c r="A11" s="3">
        <v>114</v>
      </c>
      <c r="B11" s="3" t="s">
        <v>18</v>
      </c>
      <c r="C11" s="3" t="s">
        <v>19</v>
      </c>
      <c r="D11" s="3">
        <v>41</v>
      </c>
      <c r="E11" s="3">
        <v>66</v>
      </c>
      <c r="F11" s="3">
        <v>89</v>
      </c>
      <c r="G11" s="3">
        <v>4</v>
      </c>
    </row>
    <row r="12" spans="1:7" ht="15.75" customHeight="1">
      <c r="A12" s="2">
        <v>119</v>
      </c>
      <c r="B12" s="2" t="s">
        <v>20</v>
      </c>
      <c r="C12" s="2" t="s">
        <v>8</v>
      </c>
      <c r="D12" s="2">
        <v>39</v>
      </c>
      <c r="E12" s="2">
        <v>60</v>
      </c>
      <c r="F12" s="2">
        <v>87</v>
      </c>
      <c r="G12" s="2">
        <v>4</v>
      </c>
    </row>
    <row r="13" spans="1:7" ht="15.75" customHeight="1">
      <c r="A13" s="3">
        <v>106</v>
      </c>
      <c r="B13" s="3" t="s">
        <v>21</v>
      </c>
      <c r="C13" s="3" t="s">
        <v>19</v>
      </c>
      <c r="D13" s="3">
        <v>38</v>
      </c>
      <c r="E13" s="3">
        <v>58</v>
      </c>
      <c r="F13" s="3">
        <v>85</v>
      </c>
      <c r="G13" s="3">
        <v>4</v>
      </c>
    </row>
    <row r="14" spans="1:7" ht="15.75" customHeight="1">
      <c r="A14" s="3">
        <v>110</v>
      </c>
      <c r="B14" s="3" t="s">
        <v>22</v>
      </c>
      <c r="C14" s="3" t="s">
        <v>19</v>
      </c>
      <c r="D14" s="3">
        <v>37</v>
      </c>
      <c r="E14" s="3">
        <v>55</v>
      </c>
      <c r="F14" s="3">
        <v>83</v>
      </c>
      <c r="G14" s="3">
        <v>4</v>
      </c>
    </row>
    <row r="15" spans="1:7" ht="15.75" customHeight="1">
      <c r="A15" s="2">
        <v>101</v>
      </c>
      <c r="B15" s="2" t="s">
        <v>23</v>
      </c>
      <c r="C15" s="2" t="s">
        <v>19</v>
      </c>
      <c r="D15" s="2">
        <v>35</v>
      </c>
      <c r="E15" s="2">
        <v>50</v>
      </c>
      <c r="F15" s="2">
        <v>80</v>
      </c>
      <c r="G15" s="2">
        <v>4</v>
      </c>
    </row>
    <row r="16" spans="1:7" ht="15.75" customHeight="1">
      <c r="A16" s="3">
        <v>120</v>
      </c>
      <c r="B16" s="3" t="s">
        <v>24</v>
      </c>
      <c r="C16" s="3" t="s">
        <v>19</v>
      </c>
      <c r="D16" s="3">
        <v>36</v>
      </c>
      <c r="E16" s="3">
        <v>52</v>
      </c>
      <c r="F16" s="3">
        <v>78</v>
      </c>
      <c r="G16" s="3">
        <v>4</v>
      </c>
    </row>
    <row r="17" spans="1:7" ht="15.75" customHeight="1">
      <c r="A17" s="3">
        <v>124</v>
      </c>
      <c r="B17" s="3" t="s">
        <v>25</v>
      </c>
      <c r="C17" s="3" t="s">
        <v>19</v>
      </c>
      <c r="D17" s="3">
        <v>34</v>
      </c>
      <c r="E17" s="3">
        <v>48</v>
      </c>
      <c r="F17" s="3">
        <v>76</v>
      </c>
      <c r="G17" s="3">
        <v>3</v>
      </c>
    </row>
    <row r="18" spans="1:7" ht="15.75" customHeight="1">
      <c r="A18" s="2">
        <v>113</v>
      </c>
      <c r="B18" s="2" t="s">
        <v>26</v>
      </c>
      <c r="C18" s="2" t="s">
        <v>27</v>
      </c>
      <c r="D18" s="2">
        <v>33</v>
      </c>
      <c r="E18" s="2">
        <v>45</v>
      </c>
      <c r="F18" s="2">
        <v>75</v>
      </c>
      <c r="G18" s="2">
        <v>3</v>
      </c>
    </row>
    <row r="19" spans="1:7" ht="15.75" customHeight="1">
      <c r="A19" s="3">
        <v>122</v>
      </c>
      <c r="B19" s="3" t="s">
        <v>28</v>
      </c>
      <c r="C19" s="3" t="s">
        <v>27</v>
      </c>
      <c r="D19" s="3">
        <v>32</v>
      </c>
      <c r="E19" s="3">
        <v>44</v>
      </c>
      <c r="F19" s="3">
        <v>74</v>
      </c>
      <c r="G19" s="3">
        <v>3</v>
      </c>
    </row>
    <row r="20" spans="1:7" ht="15.75" customHeight="1">
      <c r="A20" s="2">
        <v>117</v>
      </c>
      <c r="B20" s="2" t="s">
        <v>29</v>
      </c>
      <c r="C20" s="2" t="s">
        <v>27</v>
      </c>
      <c r="D20" s="2">
        <v>31</v>
      </c>
      <c r="E20" s="2">
        <v>42</v>
      </c>
      <c r="F20" s="2">
        <v>72</v>
      </c>
      <c r="G20" s="2">
        <v>3</v>
      </c>
    </row>
    <row r="21" spans="1:7" ht="15.75" customHeight="1">
      <c r="A21" s="2">
        <v>103</v>
      </c>
      <c r="B21" s="2" t="s">
        <v>30</v>
      </c>
      <c r="C21" s="2" t="s">
        <v>27</v>
      </c>
      <c r="D21" s="2">
        <v>30</v>
      </c>
      <c r="E21" s="2">
        <v>40</v>
      </c>
      <c r="F21" s="2">
        <v>70</v>
      </c>
      <c r="G21" s="2">
        <v>3</v>
      </c>
    </row>
    <row r="22" spans="1:7" ht="15.75" customHeight="1">
      <c r="A22" s="2">
        <v>111</v>
      </c>
      <c r="B22" s="2" t="s">
        <v>31</v>
      </c>
      <c r="C22" s="2" t="s">
        <v>32</v>
      </c>
      <c r="D22" s="2">
        <v>29</v>
      </c>
      <c r="E22" s="2">
        <v>38</v>
      </c>
      <c r="F22" s="2">
        <v>68</v>
      </c>
      <c r="G22" s="2">
        <v>3</v>
      </c>
    </row>
    <row r="23" spans="1:7" ht="15.75" customHeight="1">
      <c r="A23" s="3">
        <v>108</v>
      </c>
      <c r="B23" s="3" t="s">
        <v>33</v>
      </c>
      <c r="C23" s="3" t="s">
        <v>27</v>
      </c>
      <c r="D23" s="3">
        <v>28</v>
      </c>
      <c r="E23" s="3">
        <v>35</v>
      </c>
      <c r="F23" s="3">
        <v>65</v>
      </c>
      <c r="G23" s="3">
        <v>3</v>
      </c>
    </row>
    <row r="24" spans="1:7" ht="15.75" customHeight="1">
      <c r="A24" s="2">
        <v>121</v>
      </c>
      <c r="B24" s="2" t="s">
        <v>34</v>
      </c>
      <c r="C24" s="2" t="s">
        <v>32</v>
      </c>
      <c r="D24" s="2">
        <v>27</v>
      </c>
      <c r="E24" s="2">
        <v>34</v>
      </c>
      <c r="F24" s="2">
        <v>64</v>
      </c>
      <c r="G24" s="2">
        <v>2</v>
      </c>
    </row>
    <row r="25" spans="1:7" ht="15.75" customHeight="1">
      <c r="A25" s="3">
        <v>116</v>
      </c>
      <c r="B25" s="3" t="s">
        <v>35</v>
      </c>
      <c r="C25" s="3" t="s">
        <v>32</v>
      </c>
      <c r="D25" s="3">
        <v>26</v>
      </c>
      <c r="E25" s="3">
        <v>32</v>
      </c>
      <c r="F25" s="3">
        <v>62</v>
      </c>
      <c r="G25" s="3">
        <v>2</v>
      </c>
    </row>
    <row r="26" spans="1:7" ht="15.75" customHeight="1">
      <c r="A26" s="2">
        <v>105</v>
      </c>
      <c r="B26" s="2" t="s">
        <v>36</v>
      </c>
      <c r="C26" s="2" t="s">
        <v>32</v>
      </c>
      <c r="D26" s="2">
        <v>25</v>
      </c>
      <c r="E26" s="2">
        <v>30</v>
      </c>
      <c r="F26" s="2">
        <v>60</v>
      </c>
      <c r="G26" s="2">
        <v>2</v>
      </c>
    </row>
    <row r="29" spans="1:7" ht="15.75" customHeight="1">
      <c r="A29" t="s">
        <v>37</v>
      </c>
    </row>
    <row r="31" spans="1:7" ht="15.75" customHeight="1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</row>
    <row r="32" spans="1:7" ht="15.75" customHeight="1">
      <c r="A32" s="2">
        <v>107</v>
      </c>
      <c r="B32" s="2" t="s">
        <v>7</v>
      </c>
      <c r="C32" s="2" t="s">
        <v>8</v>
      </c>
      <c r="D32" s="2">
        <v>50</v>
      </c>
      <c r="E32" s="2">
        <v>80</v>
      </c>
      <c r="F32" s="2">
        <v>100</v>
      </c>
      <c r="G32" s="2">
        <v>5</v>
      </c>
    </row>
    <row r="33" spans="1:7" ht="15.75" customHeight="1">
      <c r="A33" s="2">
        <v>125</v>
      </c>
      <c r="B33" s="2" t="s">
        <v>9</v>
      </c>
      <c r="C33" s="2" t="s">
        <v>8</v>
      </c>
      <c r="D33" s="2">
        <v>47</v>
      </c>
      <c r="E33" s="2">
        <v>79</v>
      </c>
      <c r="F33" s="2">
        <v>99</v>
      </c>
      <c r="G33" s="2">
        <v>5</v>
      </c>
    </row>
    <row r="34" spans="1:7" ht="15.75" customHeight="1">
      <c r="A34" s="2">
        <v>115</v>
      </c>
      <c r="B34" s="2" t="s">
        <v>10</v>
      </c>
      <c r="C34" s="2" t="s">
        <v>8</v>
      </c>
      <c r="D34" s="2">
        <v>48</v>
      </c>
      <c r="E34" s="2">
        <v>78</v>
      </c>
      <c r="F34" s="2">
        <v>98</v>
      </c>
      <c r="G34" s="2">
        <v>5</v>
      </c>
    </row>
    <row r="35" spans="1:7" ht="15.75" customHeight="1">
      <c r="A35" s="2">
        <v>123</v>
      </c>
      <c r="B35" s="2" t="s">
        <v>11</v>
      </c>
      <c r="C35" s="2" t="s">
        <v>12</v>
      </c>
      <c r="D35" s="2">
        <v>46</v>
      </c>
      <c r="E35" s="2">
        <v>77</v>
      </c>
      <c r="F35" s="2">
        <v>96</v>
      </c>
      <c r="G35" s="2">
        <v>5</v>
      </c>
    </row>
    <row r="36" spans="1:7" ht="15.75" customHeight="1">
      <c r="A36" s="3">
        <v>104</v>
      </c>
      <c r="B36" s="3" t="s">
        <v>13</v>
      </c>
      <c r="C36" s="3" t="s">
        <v>8</v>
      </c>
      <c r="D36" s="3">
        <v>45</v>
      </c>
      <c r="E36" s="3">
        <v>75</v>
      </c>
      <c r="F36" s="3">
        <v>95</v>
      </c>
      <c r="G36" s="3">
        <v>5</v>
      </c>
    </row>
  </sheetData>
  <sortState xmlns:xlrd2="http://schemas.microsoft.com/office/spreadsheetml/2017/richdata2" ref="A2:G27">
    <sortCondition descending="1" ref="F2:F27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D6AF-419A-4D4D-A40A-F9A283964DDA}">
  <dimension ref="A3:B9"/>
  <sheetViews>
    <sheetView workbookViewId="0">
      <selection activeCell="B30" sqref="B30"/>
    </sheetView>
  </sheetViews>
  <sheetFormatPr defaultRowHeight="13.15"/>
  <cols>
    <col min="1" max="1" width="13.28515625" bestFit="1" customWidth="1"/>
    <col min="2" max="2" width="28.28515625" bestFit="1" customWidth="1"/>
  </cols>
  <sheetData>
    <row r="3" spans="1:2">
      <c r="A3" s="4" t="s">
        <v>38</v>
      </c>
      <c r="B3" t="s">
        <v>39</v>
      </c>
    </row>
    <row r="4" spans="1:2">
      <c r="A4" s="5" t="s">
        <v>32</v>
      </c>
      <c r="B4" s="6">
        <v>2.9580398915498081</v>
      </c>
    </row>
    <row r="5" spans="1:2">
      <c r="A5" s="5" t="s">
        <v>27</v>
      </c>
      <c r="B5" s="6">
        <v>3.54400902933387</v>
      </c>
    </row>
    <row r="6" spans="1:2">
      <c r="A6" s="5" t="s">
        <v>8</v>
      </c>
      <c r="B6" s="6">
        <v>4.7074409183759283</v>
      </c>
    </row>
    <row r="7" spans="1:2">
      <c r="A7" s="5" t="s">
        <v>12</v>
      </c>
      <c r="B7" s="6">
        <v>2</v>
      </c>
    </row>
    <row r="8" spans="1:2">
      <c r="A8" s="5" t="s">
        <v>19</v>
      </c>
      <c r="B8" s="6">
        <v>4.3748015828022293</v>
      </c>
    </row>
    <row r="9" spans="1:2">
      <c r="A9" s="5" t="s">
        <v>40</v>
      </c>
      <c r="B9" s="6">
        <v>12.412896519346321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3C909-4843-4F3C-9EAD-E728D1CF6E27}">
  <dimension ref="A1:I26"/>
  <sheetViews>
    <sheetView workbookViewId="0">
      <selection activeCell="I4" sqref="I4"/>
    </sheetView>
  </sheetViews>
  <sheetFormatPr defaultRowHeight="13.15"/>
  <cols>
    <col min="1" max="1" width="12.140625" bestFit="1" customWidth="1"/>
    <col min="2" max="2" width="7.28515625" bestFit="1" customWidth="1"/>
    <col min="3" max="3" width="11.140625" bestFit="1" customWidth="1"/>
    <col min="4" max="4" width="13.7109375" bestFit="1" customWidth="1"/>
    <col min="5" max="5" width="15.85546875" bestFit="1" customWidth="1"/>
    <col min="6" max="6" width="17" bestFit="1" customWidth="1"/>
    <col min="7" max="7" width="18.42578125" bestFit="1" customWidth="1"/>
  </cols>
  <sheetData>
    <row r="1" spans="1:9" ht="14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41</v>
      </c>
      <c r="I1" s="7" t="s">
        <v>42</v>
      </c>
    </row>
    <row r="2" spans="1:9" ht="14.45">
      <c r="A2" s="2">
        <v>107</v>
      </c>
      <c r="B2" s="2" t="s">
        <v>7</v>
      </c>
      <c r="C2" s="2" t="s">
        <v>8</v>
      </c>
      <c r="D2" s="2">
        <v>50</v>
      </c>
      <c r="E2" s="2">
        <v>80</v>
      </c>
      <c r="F2" s="2">
        <v>100</v>
      </c>
      <c r="G2" s="2">
        <v>5</v>
      </c>
      <c r="H2">
        <f>D2/F2</f>
        <v>0.5</v>
      </c>
      <c r="I2">
        <f>RANK(E2,$E$2:$E$26,0)</f>
        <v>1</v>
      </c>
    </row>
    <row r="3" spans="1:9" ht="14.45">
      <c r="A3" s="2">
        <v>125</v>
      </c>
      <c r="B3" s="2" t="s">
        <v>9</v>
      </c>
      <c r="C3" s="2" t="s">
        <v>8</v>
      </c>
      <c r="D3" s="2">
        <v>47</v>
      </c>
      <c r="E3" s="2">
        <v>79</v>
      </c>
      <c r="F3" s="2">
        <v>99</v>
      </c>
      <c r="G3" s="2">
        <v>5</v>
      </c>
      <c r="H3">
        <f t="shared" ref="H3:H26" si="0">D3/F3</f>
        <v>0.47474747474747475</v>
      </c>
      <c r="I3">
        <f t="shared" ref="I3:I26" si="1">RANK(E3,$E$2:$E$26,0)</f>
        <v>2</v>
      </c>
    </row>
    <row r="4" spans="1:9" ht="14.45">
      <c r="A4" s="2">
        <v>115</v>
      </c>
      <c r="B4" s="2" t="s">
        <v>10</v>
      </c>
      <c r="C4" s="2" t="s">
        <v>8</v>
      </c>
      <c r="D4" s="2">
        <v>48</v>
      </c>
      <c r="E4" s="2">
        <v>78</v>
      </c>
      <c r="F4" s="2">
        <v>98</v>
      </c>
      <c r="G4" s="2">
        <v>5</v>
      </c>
      <c r="H4">
        <f t="shared" si="0"/>
        <v>0.48979591836734693</v>
      </c>
      <c r="I4">
        <f t="shared" si="1"/>
        <v>3</v>
      </c>
    </row>
    <row r="5" spans="1:9" ht="14.45">
      <c r="A5" s="2">
        <v>123</v>
      </c>
      <c r="B5" s="2" t="s">
        <v>11</v>
      </c>
      <c r="C5" s="2" t="s">
        <v>12</v>
      </c>
      <c r="D5" s="2">
        <v>46</v>
      </c>
      <c r="E5" s="2">
        <v>77</v>
      </c>
      <c r="F5" s="2">
        <v>96</v>
      </c>
      <c r="G5" s="2">
        <v>5</v>
      </c>
      <c r="H5">
        <f t="shared" si="0"/>
        <v>0.47916666666666669</v>
      </c>
      <c r="I5">
        <f t="shared" si="1"/>
        <v>4</v>
      </c>
    </row>
    <row r="6" spans="1:9" ht="14.45">
      <c r="A6" s="3">
        <v>104</v>
      </c>
      <c r="B6" s="3" t="s">
        <v>13</v>
      </c>
      <c r="C6" s="3" t="s">
        <v>8</v>
      </c>
      <c r="D6" s="3">
        <v>45</v>
      </c>
      <c r="E6" s="3">
        <v>75</v>
      </c>
      <c r="F6" s="3">
        <v>95</v>
      </c>
      <c r="G6" s="3">
        <v>5</v>
      </c>
      <c r="H6">
        <f t="shared" si="0"/>
        <v>0.47368421052631576</v>
      </c>
      <c r="I6">
        <f t="shared" si="1"/>
        <v>5</v>
      </c>
    </row>
    <row r="7" spans="1:9" ht="14.45">
      <c r="A7" s="3">
        <v>112</v>
      </c>
      <c r="B7" s="3" t="s">
        <v>14</v>
      </c>
      <c r="C7" s="3" t="s">
        <v>12</v>
      </c>
      <c r="D7" s="3">
        <v>44</v>
      </c>
      <c r="E7" s="3">
        <v>73</v>
      </c>
      <c r="F7" s="3">
        <v>94</v>
      </c>
      <c r="G7" s="3">
        <v>5</v>
      </c>
      <c r="H7">
        <f t="shared" si="0"/>
        <v>0.46808510638297873</v>
      </c>
      <c r="I7">
        <f t="shared" si="1"/>
        <v>7</v>
      </c>
    </row>
    <row r="8" spans="1:9" ht="14.45">
      <c r="A8" s="3">
        <v>118</v>
      </c>
      <c r="B8" s="3" t="s">
        <v>15</v>
      </c>
      <c r="C8" s="3" t="s">
        <v>12</v>
      </c>
      <c r="D8" s="3">
        <v>43</v>
      </c>
      <c r="E8" s="3">
        <v>75</v>
      </c>
      <c r="F8" s="3">
        <v>93</v>
      </c>
      <c r="G8" s="3">
        <v>5</v>
      </c>
      <c r="H8">
        <f t="shared" si="0"/>
        <v>0.46236559139784944</v>
      </c>
      <c r="I8">
        <f t="shared" si="1"/>
        <v>5</v>
      </c>
    </row>
    <row r="9" spans="1:9" ht="14.45">
      <c r="A9" s="2">
        <v>109</v>
      </c>
      <c r="B9" s="2" t="s">
        <v>16</v>
      </c>
      <c r="C9" s="2" t="s">
        <v>12</v>
      </c>
      <c r="D9" s="2">
        <v>42</v>
      </c>
      <c r="E9" s="2">
        <v>70</v>
      </c>
      <c r="F9" s="2">
        <v>92</v>
      </c>
      <c r="G9" s="2">
        <v>5</v>
      </c>
      <c r="H9">
        <f t="shared" si="0"/>
        <v>0.45652173913043476</v>
      </c>
      <c r="I9">
        <f t="shared" si="1"/>
        <v>8</v>
      </c>
    </row>
    <row r="10" spans="1:9" ht="14.45">
      <c r="A10" s="3">
        <v>102</v>
      </c>
      <c r="B10" s="3" t="s">
        <v>17</v>
      </c>
      <c r="C10" s="3" t="s">
        <v>12</v>
      </c>
      <c r="D10" s="3">
        <v>40</v>
      </c>
      <c r="E10" s="3">
        <v>65</v>
      </c>
      <c r="F10" s="3">
        <v>90</v>
      </c>
      <c r="G10" s="3">
        <v>5</v>
      </c>
      <c r="H10">
        <f t="shared" si="0"/>
        <v>0.44444444444444442</v>
      </c>
      <c r="I10">
        <f t="shared" si="1"/>
        <v>10</v>
      </c>
    </row>
    <row r="11" spans="1:9" ht="14.45">
      <c r="A11" s="3">
        <v>114</v>
      </c>
      <c r="B11" s="3" t="s">
        <v>18</v>
      </c>
      <c r="C11" s="3" t="s">
        <v>19</v>
      </c>
      <c r="D11" s="3">
        <v>41</v>
      </c>
      <c r="E11" s="3">
        <v>66</v>
      </c>
      <c r="F11" s="3">
        <v>89</v>
      </c>
      <c r="G11" s="3">
        <v>4</v>
      </c>
      <c r="H11">
        <f t="shared" si="0"/>
        <v>0.4606741573033708</v>
      </c>
      <c r="I11">
        <f t="shared" si="1"/>
        <v>9</v>
      </c>
    </row>
    <row r="12" spans="1:9" ht="14.45">
      <c r="A12" s="2">
        <v>119</v>
      </c>
      <c r="B12" s="2" t="s">
        <v>20</v>
      </c>
      <c r="C12" s="2" t="s">
        <v>8</v>
      </c>
      <c r="D12" s="2">
        <v>39</v>
      </c>
      <c r="E12" s="2">
        <v>60</v>
      </c>
      <c r="F12" s="2">
        <v>87</v>
      </c>
      <c r="G12" s="2">
        <v>4</v>
      </c>
      <c r="H12">
        <f t="shared" si="0"/>
        <v>0.44827586206896552</v>
      </c>
      <c r="I12">
        <f t="shared" si="1"/>
        <v>11</v>
      </c>
    </row>
    <row r="13" spans="1:9" ht="14.45">
      <c r="A13" s="3">
        <v>106</v>
      </c>
      <c r="B13" s="3" t="s">
        <v>21</v>
      </c>
      <c r="C13" s="3" t="s">
        <v>19</v>
      </c>
      <c r="D13" s="3">
        <v>38</v>
      </c>
      <c r="E13" s="3">
        <v>58</v>
      </c>
      <c r="F13" s="3">
        <v>85</v>
      </c>
      <c r="G13" s="3">
        <v>4</v>
      </c>
      <c r="H13">
        <f t="shared" si="0"/>
        <v>0.44705882352941179</v>
      </c>
      <c r="I13">
        <f t="shared" si="1"/>
        <v>12</v>
      </c>
    </row>
    <row r="14" spans="1:9" ht="14.45">
      <c r="A14" s="3">
        <v>110</v>
      </c>
      <c r="B14" s="3" t="s">
        <v>22</v>
      </c>
      <c r="C14" s="3" t="s">
        <v>19</v>
      </c>
      <c r="D14" s="3">
        <v>37</v>
      </c>
      <c r="E14" s="3">
        <v>55</v>
      </c>
      <c r="F14" s="3">
        <v>83</v>
      </c>
      <c r="G14" s="3">
        <v>4</v>
      </c>
      <c r="H14">
        <f t="shared" si="0"/>
        <v>0.44578313253012047</v>
      </c>
      <c r="I14">
        <f t="shared" si="1"/>
        <v>13</v>
      </c>
    </row>
    <row r="15" spans="1:9" ht="14.45">
      <c r="A15" s="2">
        <v>101</v>
      </c>
      <c r="B15" s="2" t="s">
        <v>23</v>
      </c>
      <c r="C15" s="2" t="s">
        <v>19</v>
      </c>
      <c r="D15" s="2">
        <v>35</v>
      </c>
      <c r="E15" s="2">
        <v>50</v>
      </c>
      <c r="F15" s="2">
        <v>80</v>
      </c>
      <c r="G15" s="2">
        <v>4</v>
      </c>
      <c r="H15">
        <f t="shared" si="0"/>
        <v>0.4375</v>
      </c>
      <c r="I15">
        <f t="shared" si="1"/>
        <v>15</v>
      </c>
    </row>
    <row r="16" spans="1:9" ht="14.45">
      <c r="A16" s="3">
        <v>120</v>
      </c>
      <c r="B16" s="3" t="s">
        <v>24</v>
      </c>
      <c r="C16" s="3" t="s">
        <v>19</v>
      </c>
      <c r="D16" s="3">
        <v>36</v>
      </c>
      <c r="E16" s="3">
        <v>52</v>
      </c>
      <c r="F16" s="3">
        <v>78</v>
      </c>
      <c r="G16" s="3">
        <v>4</v>
      </c>
      <c r="H16">
        <f t="shared" si="0"/>
        <v>0.46153846153846156</v>
      </c>
      <c r="I16">
        <f t="shared" si="1"/>
        <v>14</v>
      </c>
    </row>
    <row r="17" spans="1:9" ht="14.45">
      <c r="A17" s="3">
        <v>124</v>
      </c>
      <c r="B17" s="3" t="s">
        <v>25</v>
      </c>
      <c r="C17" s="3" t="s">
        <v>19</v>
      </c>
      <c r="D17" s="3">
        <v>34</v>
      </c>
      <c r="E17" s="3">
        <v>48</v>
      </c>
      <c r="F17" s="3">
        <v>76</v>
      </c>
      <c r="G17" s="3">
        <v>3</v>
      </c>
      <c r="H17">
        <f t="shared" si="0"/>
        <v>0.44736842105263158</v>
      </c>
      <c r="I17">
        <f t="shared" si="1"/>
        <v>16</v>
      </c>
    </row>
    <row r="18" spans="1:9" ht="14.45">
      <c r="A18" s="2">
        <v>113</v>
      </c>
      <c r="B18" s="2" t="s">
        <v>26</v>
      </c>
      <c r="C18" s="2" t="s">
        <v>27</v>
      </c>
      <c r="D18" s="2">
        <v>33</v>
      </c>
      <c r="E18" s="2">
        <v>45</v>
      </c>
      <c r="F18" s="2">
        <v>75</v>
      </c>
      <c r="G18" s="2">
        <v>3</v>
      </c>
      <c r="H18">
        <f t="shared" si="0"/>
        <v>0.44</v>
      </c>
      <c r="I18">
        <f t="shared" si="1"/>
        <v>17</v>
      </c>
    </row>
    <row r="19" spans="1:9" ht="14.45">
      <c r="A19" s="3">
        <v>122</v>
      </c>
      <c r="B19" s="3" t="s">
        <v>28</v>
      </c>
      <c r="C19" s="3" t="s">
        <v>27</v>
      </c>
      <c r="D19" s="3">
        <v>32</v>
      </c>
      <c r="E19" s="3">
        <v>44</v>
      </c>
      <c r="F19" s="3">
        <v>74</v>
      </c>
      <c r="G19" s="3">
        <v>3</v>
      </c>
      <c r="H19">
        <f t="shared" si="0"/>
        <v>0.43243243243243246</v>
      </c>
      <c r="I19">
        <f t="shared" si="1"/>
        <v>18</v>
      </c>
    </row>
    <row r="20" spans="1:9" ht="14.45">
      <c r="A20" s="2">
        <v>117</v>
      </c>
      <c r="B20" s="2" t="s">
        <v>29</v>
      </c>
      <c r="C20" s="2" t="s">
        <v>27</v>
      </c>
      <c r="D20" s="2">
        <v>31</v>
      </c>
      <c r="E20" s="2">
        <v>42</v>
      </c>
      <c r="F20" s="2">
        <v>72</v>
      </c>
      <c r="G20" s="2">
        <v>3</v>
      </c>
      <c r="H20">
        <f t="shared" si="0"/>
        <v>0.43055555555555558</v>
      </c>
      <c r="I20">
        <f t="shared" si="1"/>
        <v>19</v>
      </c>
    </row>
    <row r="21" spans="1:9" ht="14.45">
      <c r="A21" s="2">
        <v>103</v>
      </c>
      <c r="B21" s="2" t="s">
        <v>30</v>
      </c>
      <c r="C21" s="2" t="s">
        <v>27</v>
      </c>
      <c r="D21" s="2">
        <v>30</v>
      </c>
      <c r="E21" s="2">
        <v>40</v>
      </c>
      <c r="F21" s="2">
        <v>70</v>
      </c>
      <c r="G21" s="2">
        <v>3</v>
      </c>
      <c r="H21">
        <f t="shared" si="0"/>
        <v>0.42857142857142855</v>
      </c>
      <c r="I21">
        <f t="shared" si="1"/>
        <v>20</v>
      </c>
    </row>
    <row r="22" spans="1:9" ht="14.45">
      <c r="A22" s="2">
        <v>111</v>
      </c>
      <c r="B22" s="2" t="s">
        <v>31</v>
      </c>
      <c r="C22" s="2" t="s">
        <v>32</v>
      </c>
      <c r="D22" s="2">
        <v>29</v>
      </c>
      <c r="E22" s="2">
        <v>38</v>
      </c>
      <c r="F22" s="2">
        <v>68</v>
      </c>
      <c r="G22" s="2">
        <v>3</v>
      </c>
      <c r="H22">
        <f t="shared" si="0"/>
        <v>0.4264705882352941</v>
      </c>
      <c r="I22">
        <f t="shared" si="1"/>
        <v>21</v>
      </c>
    </row>
    <row r="23" spans="1:9" ht="14.45">
      <c r="A23" s="3">
        <v>108</v>
      </c>
      <c r="B23" s="3" t="s">
        <v>33</v>
      </c>
      <c r="C23" s="3" t="s">
        <v>27</v>
      </c>
      <c r="D23" s="3">
        <v>28</v>
      </c>
      <c r="E23" s="3">
        <v>35</v>
      </c>
      <c r="F23" s="3">
        <v>65</v>
      </c>
      <c r="G23" s="3">
        <v>3</v>
      </c>
      <c r="H23">
        <f t="shared" si="0"/>
        <v>0.43076923076923079</v>
      </c>
      <c r="I23">
        <f t="shared" si="1"/>
        <v>22</v>
      </c>
    </row>
    <row r="24" spans="1:9" ht="14.45">
      <c r="A24" s="2">
        <v>121</v>
      </c>
      <c r="B24" s="2" t="s">
        <v>34</v>
      </c>
      <c r="C24" s="2" t="s">
        <v>32</v>
      </c>
      <c r="D24" s="2">
        <v>27</v>
      </c>
      <c r="E24" s="2">
        <v>34</v>
      </c>
      <c r="F24" s="2">
        <v>64</v>
      </c>
      <c r="G24" s="2">
        <v>2</v>
      </c>
      <c r="H24">
        <f t="shared" si="0"/>
        <v>0.421875</v>
      </c>
      <c r="I24">
        <f t="shared" si="1"/>
        <v>23</v>
      </c>
    </row>
    <row r="25" spans="1:9" ht="14.45">
      <c r="A25" s="3">
        <v>116</v>
      </c>
      <c r="B25" s="3" t="s">
        <v>35</v>
      </c>
      <c r="C25" s="3" t="s">
        <v>32</v>
      </c>
      <c r="D25" s="3">
        <v>26</v>
      </c>
      <c r="E25" s="3">
        <v>32</v>
      </c>
      <c r="F25" s="3">
        <v>62</v>
      </c>
      <c r="G25" s="3">
        <v>2</v>
      </c>
      <c r="H25">
        <f t="shared" si="0"/>
        <v>0.41935483870967744</v>
      </c>
      <c r="I25">
        <f t="shared" si="1"/>
        <v>24</v>
      </c>
    </row>
    <row r="26" spans="1:9" ht="14.45">
      <c r="A26" s="2">
        <v>105</v>
      </c>
      <c r="B26" s="2" t="s">
        <v>36</v>
      </c>
      <c r="C26" s="2" t="s">
        <v>32</v>
      </c>
      <c r="D26" s="2">
        <v>25</v>
      </c>
      <c r="E26" s="2">
        <v>30</v>
      </c>
      <c r="F26" s="2">
        <v>60</v>
      </c>
      <c r="G26" s="2">
        <v>2</v>
      </c>
      <c r="H26">
        <f t="shared" si="0"/>
        <v>0.41666666666666669</v>
      </c>
      <c r="I26">
        <f t="shared" si="1"/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F3063-2E48-4E50-AE6F-1397CC22DC4F}">
  <dimension ref="A1:I26"/>
  <sheetViews>
    <sheetView topLeftCell="A19" workbookViewId="0">
      <selection activeCell="I32" sqref="I32"/>
    </sheetView>
  </sheetViews>
  <sheetFormatPr defaultRowHeight="13.15"/>
  <cols>
    <col min="1" max="1" width="12.140625" bestFit="1" customWidth="1"/>
    <col min="2" max="2" width="7.28515625" bestFit="1" customWidth="1"/>
    <col min="3" max="3" width="11.140625" bestFit="1" customWidth="1"/>
    <col min="4" max="4" width="13.7109375" bestFit="1" customWidth="1"/>
    <col min="5" max="5" width="15.85546875" customWidth="1"/>
    <col min="6" max="6" width="17" bestFit="1" customWidth="1"/>
    <col min="7" max="7" width="18.42578125" bestFit="1" customWidth="1"/>
  </cols>
  <sheetData>
    <row r="1" spans="1:9" ht="14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ht="14.45">
      <c r="A2" s="2">
        <v>107</v>
      </c>
      <c r="B2" s="2" t="s">
        <v>7</v>
      </c>
      <c r="C2" s="2" t="s">
        <v>8</v>
      </c>
      <c r="D2" s="2">
        <v>50</v>
      </c>
      <c r="E2" s="2">
        <v>80</v>
      </c>
      <c r="F2" s="2">
        <v>100</v>
      </c>
      <c r="G2" s="2">
        <v>5</v>
      </c>
      <c r="H2">
        <f>CORREL(D2:D26,G2:G26)</f>
        <v>0.94623485838187738</v>
      </c>
    </row>
    <row r="3" spans="1:9" ht="14.45">
      <c r="A3" s="2">
        <v>125</v>
      </c>
      <c r="B3" s="2" t="s">
        <v>9</v>
      </c>
      <c r="C3" s="2" t="s">
        <v>8</v>
      </c>
      <c r="D3" s="2">
        <v>47</v>
      </c>
      <c r="E3" s="2">
        <v>79</v>
      </c>
      <c r="F3" s="2">
        <v>99</v>
      </c>
      <c r="G3" s="2">
        <v>5</v>
      </c>
      <c r="I3">
        <f>CORREL(E2:E26,G2:G26)</f>
        <v>0.9574553703647628</v>
      </c>
    </row>
    <row r="4" spans="1:9" ht="14.45">
      <c r="A4" s="2">
        <v>115</v>
      </c>
      <c r="B4" s="2" t="s">
        <v>10</v>
      </c>
      <c r="C4" s="2" t="s">
        <v>8</v>
      </c>
      <c r="D4" s="2">
        <v>48</v>
      </c>
      <c r="E4" s="2">
        <v>78</v>
      </c>
      <c r="F4" s="2">
        <v>98</v>
      </c>
      <c r="G4" s="2">
        <v>5</v>
      </c>
    </row>
    <row r="5" spans="1:9" ht="14.45">
      <c r="A5" s="2">
        <v>123</v>
      </c>
      <c r="B5" s="2" t="s">
        <v>11</v>
      </c>
      <c r="C5" s="2" t="s">
        <v>12</v>
      </c>
      <c r="D5" s="2">
        <v>46</v>
      </c>
      <c r="E5" s="2">
        <v>77</v>
      </c>
      <c r="F5" s="2">
        <v>96</v>
      </c>
      <c r="G5" s="2">
        <v>5</v>
      </c>
    </row>
    <row r="6" spans="1:9" ht="14.45">
      <c r="A6" s="3">
        <v>104</v>
      </c>
      <c r="B6" s="3" t="s">
        <v>13</v>
      </c>
      <c r="C6" s="3" t="s">
        <v>8</v>
      </c>
      <c r="D6" s="3">
        <v>45</v>
      </c>
      <c r="E6" s="3">
        <v>75</v>
      </c>
      <c r="F6" s="3">
        <v>95</v>
      </c>
      <c r="G6" s="3">
        <v>5</v>
      </c>
    </row>
    <row r="7" spans="1:9" ht="14.45">
      <c r="A7" s="3">
        <v>112</v>
      </c>
      <c r="B7" s="3" t="s">
        <v>14</v>
      </c>
      <c r="C7" s="3" t="s">
        <v>12</v>
      </c>
      <c r="D7" s="3">
        <v>44</v>
      </c>
      <c r="E7" s="3">
        <v>73</v>
      </c>
      <c r="F7" s="3">
        <v>94</v>
      </c>
      <c r="G7" s="3">
        <v>5</v>
      </c>
    </row>
    <row r="8" spans="1:9" ht="14.45">
      <c r="A8" s="3">
        <v>118</v>
      </c>
      <c r="B8" s="3" t="s">
        <v>15</v>
      </c>
      <c r="C8" s="3" t="s">
        <v>12</v>
      </c>
      <c r="D8" s="3">
        <v>43</v>
      </c>
      <c r="E8" s="3">
        <v>75</v>
      </c>
      <c r="F8" s="3">
        <v>93</v>
      </c>
      <c r="G8" s="3">
        <v>5</v>
      </c>
    </row>
    <row r="9" spans="1:9" ht="14.45">
      <c r="A9" s="2">
        <v>109</v>
      </c>
      <c r="B9" s="2" t="s">
        <v>16</v>
      </c>
      <c r="C9" s="2" t="s">
        <v>12</v>
      </c>
      <c r="D9" s="2">
        <v>42</v>
      </c>
      <c r="E9" s="2">
        <v>70</v>
      </c>
      <c r="F9" s="2">
        <v>92</v>
      </c>
      <c r="G9" s="2">
        <v>5</v>
      </c>
    </row>
    <row r="10" spans="1:9" ht="14.45">
      <c r="A10" s="3">
        <v>102</v>
      </c>
      <c r="B10" s="3" t="s">
        <v>17</v>
      </c>
      <c r="C10" s="3" t="s">
        <v>12</v>
      </c>
      <c r="D10" s="3">
        <v>40</v>
      </c>
      <c r="E10" s="3">
        <v>65</v>
      </c>
      <c r="F10" s="3">
        <v>90</v>
      </c>
      <c r="G10" s="3">
        <v>5</v>
      </c>
    </row>
    <row r="11" spans="1:9" ht="14.45">
      <c r="A11" s="3">
        <v>114</v>
      </c>
      <c r="B11" s="3" t="s">
        <v>18</v>
      </c>
      <c r="C11" s="3" t="s">
        <v>19</v>
      </c>
      <c r="D11" s="3">
        <v>41</v>
      </c>
      <c r="E11" s="3">
        <v>66</v>
      </c>
      <c r="F11" s="3">
        <v>89</v>
      </c>
      <c r="G11" s="3">
        <v>4</v>
      </c>
    </row>
    <row r="12" spans="1:9" ht="14.45">
      <c r="A12" s="2">
        <v>119</v>
      </c>
      <c r="B12" s="2" t="s">
        <v>20</v>
      </c>
      <c r="C12" s="2" t="s">
        <v>8</v>
      </c>
      <c r="D12" s="2">
        <v>39</v>
      </c>
      <c r="E12" s="2">
        <v>60</v>
      </c>
      <c r="F12" s="2">
        <v>87</v>
      </c>
      <c r="G12" s="2">
        <v>4</v>
      </c>
    </row>
    <row r="13" spans="1:9" ht="14.45">
      <c r="A13" s="3">
        <v>106</v>
      </c>
      <c r="B13" s="3" t="s">
        <v>21</v>
      </c>
      <c r="C13" s="3" t="s">
        <v>19</v>
      </c>
      <c r="D13" s="3">
        <v>38</v>
      </c>
      <c r="E13" s="3">
        <v>58</v>
      </c>
      <c r="F13" s="3">
        <v>85</v>
      </c>
      <c r="G13" s="3">
        <v>4</v>
      </c>
    </row>
    <row r="14" spans="1:9" ht="14.45">
      <c r="A14" s="3">
        <v>110</v>
      </c>
      <c r="B14" s="3" t="s">
        <v>22</v>
      </c>
      <c r="C14" s="3" t="s">
        <v>19</v>
      </c>
      <c r="D14" s="3">
        <v>37</v>
      </c>
      <c r="E14" s="3">
        <v>55</v>
      </c>
      <c r="F14" s="3">
        <v>83</v>
      </c>
      <c r="G14" s="3">
        <v>4</v>
      </c>
    </row>
    <row r="15" spans="1:9" ht="14.45">
      <c r="A15" s="2">
        <v>101</v>
      </c>
      <c r="B15" s="2" t="s">
        <v>23</v>
      </c>
      <c r="C15" s="2" t="s">
        <v>19</v>
      </c>
      <c r="D15" s="2">
        <v>35</v>
      </c>
      <c r="E15" s="2">
        <v>50</v>
      </c>
      <c r="F15" s="2">
        <v>80</v>
      </c>
      <c r="G15" s="2">
        <v>4</v>
      </c>
    </row>
    <row r="16" spans="1:9" ht="14.45">
      <c r="A16" s="3">
        <v>120</v>
      </c>
      <c r="B16" s="3" t="s">
        <v>24</v>
      </c>
      <c r="C16" s="3" t="s">
        <v>19</v>
      </c>
      <c r="D16" s="3">
        <v>36</v>
      </c>
      <c r="E16" s="3">
        <v>52</v>
      </c>
      <c r="F16" s="3">
        <v>78</v>
      </c>
      <c r="G16" s="3">
        <v>4</v>
      </c>
    </row>
    <row r="17" spans="1:7" ht="14.45">
      <c r="A17" s="3">
        <v>124</v>
      </c>
      <c r="B17" s="3" t="s">
        <v>25</v>
      </c>
      <c r="C17" s="3" t="s">
        <v>19</v>
      </c>
      <c r="D17" s="3">
        <v>34</v>
      </c>
      <c r="E17" s="3">
        <v>48</v>
      </c>
      <c r="F17" s="3">
        <v>76</v>
      </c>
      <c r="G17" s="3">
        <v>3</v>
      </c>
    </row>
    <row r="18" spans="1:7" ht="14.45">
      <c r="A18" s="2">
        <v>113</v>
      </c>
      <c r="B18" s="2" t="s">
        <v>26</v>
      </c>
      <c r="C18" s="2" t="s">
        <v>27</v>
      </c>
      <c r="D18" s="2">
        <v>33</v>
      </c>
      <c r="E18" s="2">
        <v>45</v>
      </c>
      <c r="F18" s="2">
        <v>75</v>
      </c>
      <c r="G18" s="2">
        <v>3</v>
      </c>
    </row>
    <row r="19" spans="1:7" ht="14.45">
      <c r="A19" s="3">
        <v>122</v>
      </c>
      <c r="B19" s="3" t="s">
        <v>28</v>
      </c>
      <c r="C19" s="3" t="s">
        <v>27</v>
      </c>
      <c r="D19" s="3">
        <v>32</v>
      </c>
      <c r="E19" s="3">
        <v>44</v>
      </c>
      <c r="F19" s="3">
        <v>74</v>
      </c>
      <c r="G19" s="3">
        <v>3</v>
      </c>
    </row>
    <row r="20" spans="1:7" ht="14.45">
      <c r="A20" s="2">
        <v>117</v>
      </c>
      <c r="B20" s="2" t="s">
        <v>29</v>
      </c>
      <c r="C20" s="2" t="s">
        <v>27</v>
      </c>
      <c r="D20" s="2">
        <v>31</v>
      </c>
      <c r="E20" s="2">
        <v>42</v>
      </c>
      <c r="F20" s="2">
        <v>72</v>
      </c>
      <c r="G20" s="2">
        <v>3</v>
      </c>
    </row>
    <row r="21" spans="1:7" ht="14.45">
      <c r="A21" s="2">
        <v>103</v>
      </c>
      <c r="B21" s="2" t="s">
        <v>30</v>
      </c>
      <c r="C21" s="2" t="s">
        <v>27</v>
      </c>
      <c r="D21" s="2">
        <v>30</v>
      </c>
      <c r="E21" s="2">
        <v>40</v>
      </c>
      <c r="F21" s="2">
        <v>70</v>
      </c>
      <c r="G21" s="2">
        <v>3</v>
      </c>
    </row>
    <row r="22" spans="1:7" ht="14.45">
      <c r="A22" s="2">
        <v>111</v>
      </c>
      <c r="B22" s="2" t="s">
        <v>31</v>
      </c>
      <c r="C22" s="2" t="s">
        <v>32</v>
      </c>
      <c r="D22" s="2">
        <v>29</v>
      </c>
      <c r="E22" s="2">
        <v>38</v>
      </c>
      <c r="F22" s="2">
        <v>68</v>
      </c>
      <c r="G22" s="2">
        <v>3</v>
      </c>
    </row>
    <row r="23" spans="1:7" ht="14.45">
      <c r="A23" s="3">
        <v>108</v>
      </c>
      <c r="B23" s="3" t="s">
        <v>33</v>
      </c>
      <c r="C23" s="3" t="s">
        <v>27</v>
      </c>
      <c r="D23" s="3">
        <v>28</v>
      </c>
      <c r="E23" s="3">
        <v>35</v>
      </c>
      <c r="F23" s="3">
        <v>65</v>
      </c>
      <c r="G23" s="3">
        <v>3</v>
      </c>
    </row>
    <row r="24" spans="1:7" ht="14.45">
      <c r="A24" s="2">
        <v>121</v>
      </c>
      <c r="B24" s="2" t="s">
        <v>34</v>
      </c>
      <c r="C24" s="2" t="s">
        <v>32</v>
      </c>
      <c r="D24" s="2">
        <v>27</v>
      </c>
      <c r="E24" s="2">
        <v>34</v>
      </c>
      <c r="F24" s="2">
        <v>64</v>
      </c>
      <c r="G24" s="2">
        <v>2</v>
      </c>
    </row>
    <row r="25" spans="1:7" ht="14.45">
      <c r="A25" s="3">
        <v>116</v>
      </c>
      <c r="B25" s="3" t="s">
        <v>35</v>
      </c>
      <c r="C25" s="3" t="s">
        <v>32</v>
      </c>
      <c r="D25" s="3">
        <v>26</v>
      </c>
      <c r="E25" s="3">
        <v>32</v>
      </c>
      <c r="F25" s="3">
        <v>62</v>
      </c>
      <c r="G25" s="3">
        <v>2</v>
      </c>
    </row>
    <row r="26" spans="1:7" ht="14.45">
      <c r="A26" s="2">
        <v>105</v>
      </c>
      <c r="B26" s="2" t="s">
        <v>36</v>
      </c>
      <c r="C26" s="2" t="s">
        <v>32</v>
      </c>
      <c r="D26" s="2">
        <v>25</v>
      </c>
      <c r="E26" s="2">
        <v>30</v>
      </c>
      <c r="F26" s="2">
        <v>60</v>
      </c>
      <c r="G26" s="2">
        <v>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2C735-5662-4BA4-A674-08336639F3B4}">
  <dimension ref="A1:P27"/>
  <sheetViews>
    <sheetView topLeftCell="A3" workbookViewId="0">
      <selection activeCell="K1" sqref="K1"/>
    </sheetView>
  </sheetViews>
  <sheetFormatPr defaultRowHeight="13.15"/>
  <cols>
    <col min="1" max="1" width="12.140625" bestFit="1" customWidth="1"/>
    <col min="2" max="2" width="7.28515625" bestFit="1" customWidth="1"/>
    <col min="3" max="3" width="11.140625" bestFit="1" customWidth="1"/>
    <col min="4" max="4" width="13.7109375" bestFit="1" customWidth="1"/>
    <col min="5" max="5" width="15.85546875" bestFit="1" customWidth="1"/>
    <col min="6" max="6" width="17" bestFit="1" customWidth="1"/>
    <col min="7" max="7" width="18.42578125" bestFit="1" customWidth="1"/>
    <col min="8" max="8" width="25.7109375" bestFit="1" customWidth="1"/>
    <col min="9" max="9" width="21.28515625" bestFit="1" customWidth="1"/>
    <col min="10" max="10" width="24.7109375" bestFit="1" customWidth="1"/>
    <col min="16" max="16" width="6" bestFit="1" customWidth="1"/>
  </cols>
  <sheetData>
    <row r="1" spans="1:16" ht="14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43</v>
      </c>
      <c r="I1" s="8" t="s">
        <v>44</v>
      </c>
      <c r="J1" s="8" t="s">
        <v>45</v>
      </c>
    </row>
    <row r="2" spans="1:16" ht="14.45">
      <c r="A2" s="2">
        <v>107</v>
      </c>
      <c r="B2" s="2" t="s">
        <v>7</v>
      </c>
      <c r="C2" s="2" t="s">
        <v>8</v>
      </c>
      <c r="D2" s="2">
        <v>50</v>
      </c>
      <c r="E2" s="2">
        <v>80</v>
      </c>
      <c r="F2" s="2">
        <v>100</v>
      </c>
      <c r="G2" s="2">
        <v>5</v>
      </c>
      <c r="H2" t="str">
        <f>IF(AND(F2&gt;=4, D2&lt;$D$27), "Yes", "No")</f>
        <v>No</v>
      </c>
      <c r="I2" t="b">
        <f>AND(G2&gt;=4)</f>
        <v>1</v>
      </c>
      <c r="J2" t="b">
        <f>IF(AND(D2&gt;$D$27),TRUE,FALSE)</f>
        <v>1</v>
      </c>
    </row>
    <row r="3" spans="1:16" ht="14.45">
      <c r="A3" s="2">
        <v>125</v>
      </c>
      <c r="B3" s="2" t="s">
        <v>9</v>
      </c>
      <c r="C3" s="2" t="s">
        <v>8</v>
      </c>
      <c r="D3" s="2">
        <v>47</v>
      </c>
      <c r="E3" s="2">
        <v>79</v>
      </c>
      <c r="F3" s="2">
        <v>99</v>
      </c>
      <c r="G3" s="2">
        <v>5</v>
      </c>
      <c r="H3" t="str">
        <f t="shared" ref="H3:H26" si="0">IF(AND(F3&gt;=4, D3&lt;$D$27), "Yes", "No")</f>
        <v>No</v>
      </c>
      <c r="I3" t="b">
        <f t="shared" ref="I3:I26" si="1">AND(G3&gt;=4)</f>
        <v>1</v>
      </c>
      <c r="J3" t="b">
        <f t="shared" ref="J3:J26" si="2">IF(AND(D3&gt;$D$27),TRUE,FALSE)</f>
        <v>1</v>
      </c>
    </row>
    <row r="4" spans="1:16" ht="14.45">
      <c r="A4" s="2">
        <v>115</v>
      </c>
      <c r="B4" s="2" t="s">
        <v>10</v>
      </c>
      <c r="C4" s="2" t="s">
        <v>8</v>
      </c>
      <c r="D4" s="2">
        <v>48</v>
      </c>
      <c r="E4" s="2">
        <v>78</v>
      </c>
      <c r="F4" s="2">
        <v>98</v>
      </c>
      <c r="G4" s="2">
        <v>5</v>
      </c>
      <c r="H4" t="str">
        <f t="shared" si="0"/>
        <v>No</v>
      </c>
      <c r="I4" t="b">
        <f t="shared" si="1"/>
        <v>1</v>
      </c>
      <c r="J4" t="b">
        <f t="shared" si="2"/>
        <v>1</v>
      </c>
    </row>
    <row r="5" spans="1:16" ht="14.45">
      <c r="A5" s="2">
        <v>123</v>
      </c>
      <c r="B5" s="2" t="s">
        <v>11</v>
      </c>
      <c r="C5" s="2" t="s">
        <v>12</v>
      </c>
      <c r="D5" s="2">
        <v>46</v>
      </c>
      <c r="E5" s="2">
        <v>77</v>
      </c>
      <c r="F5" s="2">
        <v>96</v>
      </c>
      <c r="G5" s="2">
        <v>5</v>
      </c>
      <c r="H5" t="str">
        <f t="shared" si="0"/>
        <v>No</v>
      </c>
      <c r="I5" t="b">
        <f t="shared" si="1"/>
        <v>1</v>
      </c>
      <c r="J5" t="b">
        <f t="shared" si="2"/>
        <v>1</v>
      </c>
    </row>
    <row r="6" spans="1:16" ht="14.45">
      <c r="A6" s="3">
        <v>104</v>
      </c>
      <c r="B6" s="3" t="s">
        <v>13</v>
      </c>
      <c r="C6" s="3" t="s">
        <v>8</v>
      </c>
      <c r="D6" s="3">
        <v>45</v>
      </c>
      <c r="E6" s="3">
        <v>75</v>
      </c>
      <c r="F6" s="3">
        <v>95</v>
      </c>
      <c r="G6" s="3">
        <v>5</v>
      </c>
      <c r="H6" t="str">
        <f t="shared" si="0"/>
        <v>No</v>
      </c>
      <c r="I6" t="b">
        <f t="shared" si="1"/>
        <v>1</v>
      </c>
      <c r="J6" t="b">
        <f t="shared" si="2"/>
        <v>1</v>
      </c>
    </row>
    <row r="7" spans="1:16" ht="14.45">
      <c r="A7" s="3">
        <v>112</v>
      </c>
      <c r="B7" s="3" t="s">
        <v>14</v>
      </c>
      <c r="C7" s="3" t="s">
        <v>12</v>
      </c>
      <c r="D7" s="3">
        <v>44</v>
      </c>
      <c r="E7" s="3">
        <v>73</v>
      </c>
      <c r="F7" s="3">
        <v>94</v>
      </c>
      <c r="G7" s="3">
        <v>5</v>
      </c>
      <c r="H7" t="str">
        <f t="shared" si="0"/>
        <v>No</v>
      </c>
      <c r="I7" t="b">
        <f t="shared" si="1"/>
        <v>1</v>
      </c>
      <c r="J7" t="b">
        <f t="shared" si="2"/>
        <v>1</v>
      </c>
    </row>
    <row r="8" spans="1:16" ht="14.45">
      <c r="A8" s="3">
        <v>118</v>
      </c>
      <c r="B8" s="3" t="s">
        <v>15</v>
      </c>
      <c r="C8" s="3" t="s">
        <v>12</v>
      </c>
      <c r="D8" s="3">
        <v>43</v>
      </c>
      <c r="E8" s="3">
        <v>75</v>
      </c>
      <c r="F8" s="3">
        <v>93</v>
      </c>
      <c r="G8" s="3">
        <v>5</v>
      </c>
      <c r="H8" t="str">
        <f t="shared" si="0"/>
        <v>No</v>
      </c>
      <c r="I8" t="b">
        <f t="shared" si="1"/>
        <v>1</v>
      </c>
      <c r="J8" t="b">
        <f t="shared" si="2"/>
        <v>1</v>
      </c>
    </row>
    <row r="9" spans="1:16" ht="14.45">
      <c r="A9" s="2">
        <v>109</v>
      </c>
      <c r="B9" s="2" t="s">
        <v>16</v>
      </c>
      <c r="C9" s="2" t="s">
        <v>12</v>
      </c>
      <c r="D9" s="2">
        <v>42</v>
      </c>
      <c r="E9" s="2">
        <v>70</v>
      </c>
      <c r="F9" s="2">
        <v>92</v>
      </c>
      <c r="G9" s="2">
        <v>5</v>
      </c>
      <c r="H9" t="str">
        <f t="shared" si="0"/>
        <v>No</v>
      </c>
      <c r="I9" t="b">
        <f t="shared" si="1"/>
        <v>1</v>
      </c>
      <c r="J9" t="b">
        <f t="shared" si="2"/>
        <v>1</v>
      </c>
    </row>
    <row r="10" spans="1:16" ht="14.45">
      <c r="A10" s="3">
        <v>102</v>
      </c>
      <c r="B10" s="3" t="s">
        <v>17</v>
      </c>
      <c r="C10" s="3" t="s">
        <v>12</v>
      </c>
      <c r="D10" s="3">
        <v>40</v>
      </c>
      <c r="E10" s="3">
        <v>65</v>
      </c>
      <c r="F10" s="3">
        <v>90</v>
      </c>
      <c r="G10" s="3">
        <v>5</v>
      </c>
      <c r="H10" t="str">
        <f t="shared" si="0"/>
        <v>No</v>
      </c>
      <c r="I10" t="b">
        <f t="shared" si="1"/>
        <v>1</v>
      </c>
      <c r="J10" t="b">
        <f t="shared" si="2"/>
        <v>1</v>
      </c>
      <c r="P10">
        <f>AVERAGE(D2:D26)</f>
        <v>37.04</v>
      </c>
    </row>
    <row r="11" spans="1:16" ht="14.45">
      <c r="A11" s="3">
        <v>114</v>
      </c>
      <c r="B11" s="3" t="s">
        <v>18</v>
      </c>
      <c r="C11" s="3" t="s">
        <v>19</v>
      </c>
      <c r="D11" s="3">
        <v>41</v>
      </c>
      <c r="E11" s="3">
        <v>66</v>
      </c>
      <c r="F11" s="3">
        <v>89</v>
      </c>
      <c r="G11" s="3">
        <v>4</v>
      </c>
      <c r="H11" t="str">
        <f t="shared" si="0"/>
        <v>No</v>
      </c>
      <c r="I11" t="b">
        <f t="shared" si="1"/>
        <v>1</v>
      </c>
      <c r="J11" t="b">
        <f t="shared" si="2"/>
        <v>1</v>
      </c>
    </row>
    <row r="12" spans="1:16" ht="14.45">
      <c r="A12" s="2">
        <v>119</v>
      </c>
      <c r="B12" s="2" t="s">
        <v>20</v>
      </c>
      <c r="C12" s="2" t="s">
        <v>8</v>
      </c>
      <c r="D12" s="2">
        <v>39</v>
      </c>
      <c r="E12" s="2">
        <v>60</v>
      </c>
      <c r="F12" s="2">
        <v>87</v>
      </c>
      <c r="G12" s="2">
        <v>4</v>
      </c>
      <c r="H12" t="str">
        <f t="shared" si="0"/>
        <v>No</v>
      </c>
      <c r="I12" t="b">
        <f t="shared" si="1"/>
        <v>1</v>
      </c>
      <c r="J12" t="b">
        <f t="shared" si="2"/>
        <v>1</v>
      </c>
    </row>
    <row r="13" spans="1:16" ht="14.45">
      <c r="A13" s="3">
        <v>106</v>
      </c>
      <c r="B13" s="3" t="s">
        <v>21</v>
      </c>
      <c r="C13" s="3" t="s">
        <v>19</v>
      </c>
      <c r="D13" s="3">
        <v>38</v>
      </c>
      <c r="E13" s="3">
        <v>58</v>
      </c>
      <c r="F13" s="3">
        <v>85</v>
      </c>
      <c r="G13" s="3">
        <v>4</v>
      </c>
      <c r="H13" t="str">
        <f t="shared" si="0"/>
        <v>No</v>
      </c>
      <c r="I13" t="b">
        <f t="shared" si="1"/>
        <v>1</v>
      </c>
      <c r="J13" t="b">
        <f t="shared" si="2"/>
        <v>1</v>
      </c>
    </row>
    <row r="14" spans="1:16" ht="14.45">
      <c r="A14" s="3">
        <v>110</v>
      </c>
      <c r="B14" s="3" t="s">
        <v>22</v>
      </c>
      <c r="C14" s="3" t="s">
        <v>19</v>
      </c>
      <c r="D14" s="3">
        <v>37</v>
      </c>
      <c r="E14" s="3">
        <v>55</v>
      </c>
      <c r="F14" s="3">
        <v>83</v>
      </c>
      <c r="G14" s="3">
        <v>4</v>
      </c>
      <c r="H14" t="str">
        <f t="shared" si="0"/>
        <v>Yes</v>
      </c>
      <c r="I14" t="b">
        <f t="shared" si="1"/>
        <v>1</v>
      </c>
      <c r="J14" t="b">
        <f t="shared" si="2"/>
        <v>0</v>
      </c>
    </row>
    <row r="15" spans="1:16" ht="14.45">
      <c r="A15" s="2">
        <v>101</v>
      </c>
      <c r="B15" s="2" t="s">
        <v>23</v>
      </c>
      <c r="C15" s="2" t="s">
        <v>19</v>
      </c>
      <c r="D15" s="2">
        <v>35</v>
      </c>
      <c r="E15" s="2">
        <v>50</v>
      </c>
      <c r="F15" s="2">
        <v>80</v>
      </c>
      <c r="G15" s="2">
        <v>4</v>
      </c>
      <c r="H15" t="str">
        <f t="shared" si="0"/>
        <v>Yes</v>
      </c>
      <c r="I15" t="b">
        <f t="shared" si="1"/>
        <v>1</v>
      </c>
      <c r="J15" t="b">
        <f t="shared" si="2"/>
        <v>0</v>
      </c>
    </row>
    <row r="16" spans="1:16" ht="14.45">
      <c r="A16" s="3">
        <v>120</v>
      </c>
      <c r="B16" s="3" t="s">
        <v>24</v>
      </c>
      <c r="C16" s="3" t="s">
        <v>19</v>
      </c>
      <c r="D16" s="3">
        <v>36</v>
      </c>
      <c r="E16" s="3">
        <v>52</v>
      </c>
      <c r="F16" s="3">
        <v>78</v>
      </c>
      <c r="G16" s="3">
        <v>4</v>
      </c>
      <c r="H16" t="str">
        <f t="shared" si="0"/>
        <v>Yes</v>
      </c>
      <c r="I16" t="b">
        <f t="shared" si="1"/>
        <v>1</v>
      </c>
      <c r="J16" t="b">
        <f t="shared" si="2"/>
        <v>0</v>
      </c>
    </row>
    <row r="17" spans="1:10" ht="14.45">
      <c r="A17" s="3">
        <v>124</v>
      </c>
      <c r="B17" s="3" t="s">
        <v>25</v>
      </c>
      <c r="C17" s="3" t="s">
        <v>19</v>
      </c>
      <c r="D17" s="3">
        <v>34</v>
      </c>
      <c r="E17" s="3">
        <v>48</v>
      </c>
      <c r="F17" s="3">
        <v>76</v>
      </c>
      <c r="G17" s="3">
        <v>3</v>
      </c>
      <c r="H17" t="str">
        <f t="shared" si="0"/>
        <v>Yes</v>
      </c>
      <c r="I17" t="b">
        <f t="shared" si="1"/>
        <v>0</v>
      </c>
      <c r="J17" t="b">
        <f t="shared" si="2"/>
        <v>0</v>
      </c>
    </row>
    <row r="18" spans="1:10" ht="14.45">
      <c r="A18" s="2">
        <v>113</v>
      </c>
      <c r="B18" s="2" t="s">
        <v>26</v>
      </c>
      <c r="C18" s="2" t="s">
        <v>27</v>
      </c>
      <c r="D18" s="2">
        <v>33</v>
      </c>
      <c r="E18" s="2">
        <v>45</v>
      </c>
      <c r="F18" s="2">
        <v>75</v>
      </c>
      <c r="G18" s="2">
        <v>3</v>
      </c>
      <c r="H18" t="str">
        <f t="shared" si="0"/>
        <v>Yes</v>
      </c>
      <c r="I18" t="b">
        <f t="shared" si="1"/>
        <v>0</v>
      </c>
      <c r="J18" t="b">
        <f t="shared" si="2"/>
        <v>0</v>
      </c>
    </row>
    <row r="19" spans="1:10" ht="14.45">
      <c r="A19" s="3">
        <v>122</v>
      </c>
      <c r="B19" s="3" t="s">
        <v>28</v>
      </c>
      <c r="C19" s="3" t="s">
        <v>27</v>
      </c>
      <c r="D19" s="3">
        <v>32</v>
      </c>
      <c r="E19" s="3">
        <v>44</v>
      </c>
      <c r="F19" s="3">
        <v>74</v>
      </c>
      <c r="G19" s="3">
        <v>3</v>
      </c>
      <c r="H19" t="str">
        <f t="shared" si="0"/>
        <v>Yes</v>
      </c>
      <c r="I19" t="b">
        <f t="shared" si="1"/>
        <v>0</v>
      </c>
      <c r="J19" t="b">
        <f t="shared" si="2"/>
        <v>0</v>
      </c>
    </row>
    <row r="20" spans="1:10" ht="14.45">
      <c r="A20" s="2">
        <v>117</v>
      </c>
      <c r="B20" s="2" t="s">
        <v>29</v>
      </c>
      <c r="C20" s="2" t="s">
        <v>27</v>
      </c>
      <c r="D20" s="2">
        <v>31</v>
      </c>
      <c r="E20" s="2">
        <v>42</v>
      </c>
      <c r="F20" s="2">
        <v>72</v>
      </c>
      <c r="G20" s="2">
        <v>3</v>
      </c>
      <c r="H20" t="str">
        <f t="shared" si="0"/>
        <v>Yes</v>
      </c>
      <c r="I20" t="b">
        <f t="shared" si="1"/>
        <v>0</v>
      </c>
      <c r="J20" t="b">
        <f t="shared" si="2"/>
        <v>0</v>
      </c>
    </row>
    <row r="21" spans="1:10" ht="14.45">
      <c r="A21" s="2">
        <v>103</v>
      </c>
      <c r="B21" s="2" t="s">
        <v>30</v>
      </c>
      <c r="C21" s="2" t="s">
        <v>27</v>
      </c>
      <c r="D21" s="2">
        <v>30</v>
      </c>
      <c r="E21" s="2">
        <v>40</v>
      </c>
      <c r="F21" s="2">
        <v>70</v>
      </c>
      <c r="G21" s="2">
        <v>3</v>
      </c>
      <c r="H21" t="str">
        <f t="shared" si="0"/>
        <v>Yes</v>
      </c>
      <c r="I21" t="b">
        <f t="shared" si="1"/>
        <v>0</v>
      </c>
      <c r="J21" t="b">
        <f t="shared" si="2"/>
        <v>0</v>
      </c>
    </row>
    <row r="22" spans="1:10" ht="14.45">
      <c r="A22" s="2">
        <v>111</v>
      </c>
      <c r="B22" s="2" t="s">
        <v>31</v>
      </c>
      <c r="C22" s="2" t="s">
        <v>32</v>
      </c>
      <c r="D22" s="2">
        <v>29</v>
      </c>
      <c r="E22" s="2">
        <v>38</v>
      </c>
      <c r="F22" s="2">
        <v>68</v>
      </c>
      <c r="G22" s="2">
        <v>3</v>
      </c>
      <c r="H22" t="str">
        <f t="shared" si="0"/>
        <v>Yes</v>
      </c>
      <c r="I22" t="b">
        <f t="shared" si="1"/>
        <v>0</v>
      </c>
      <c r="J22" t="b">
        <f t="shared" si="2"/>
        <v>0</v>
      </c>
    </row>
    <row r="23" spans="1:10" ht="14.45">
      <c r="A23" s="3">
        <v>108</v>
      </c>
      <c r="B23" s="3" t="s">
        <v>33</v>
      </c>
      <c r="C23" s="3" t="s">
        <v>27</v>
      </c>
      <c r="D23" s="3">
        <v>28</v>
      </c>
      <c r="E23" s="3">
        <v>35</v>
      </c>
      <c r="F23" s="3">
        <v>65</v>
      </c>
      <c r="G23" s="3">
        <v>3</v>
      </c>
      <c r="H23" t="str">
        <f t="shared" si="0"/>
        <v>Yes</v>
      </c>
      <c r="I23" t="b">
        <f t="shared" si="1"/>
        <v>0</v>
      </c>
      <c r="J23" t="b">
        <f t="shared" si="2"/>
        <v>0</v>
      </c>
    </row>
    <row r="24" spans="1:10" ht="14.45">
      <c r="A24" s="2">
        <v>121</v>
      </c>
      <c r="B24" s="2" t="s">
        <v>34</v>
      </c>
      <c r="C24" s="2" t="s">
        <v>32</v>
      </c>
      <c r="D24" s="2">
        <v>27</v>
      </c>
      <c r="E24" s="2">
        <v>34</v>
      </c>
      <c r="F24" s="2">
        <v>64</v>
      </c>
      <c r="G24" s="2">
        <v>2</v>
      </c>
      <c r="H24" t="str">
        <f t="shared" si="0"/>
        <v>Yes</v>
      </c>
      <c r="I24" t="b">
        <f t="shared" si="1"/>
        <v>0</v>
      </c>
      <c r="J24" t="b">
        <f t="shared" si="2"/>
        <v>0</v>
      </c>
    </row>
    <row r="25" spans="1:10" ht="14.45">
      <c r="A25" s="3">
        <v>116</v>
      </c>
      <c r="B25" s="3" t="s">
        <v>35</v>
      </c>
      <c r="C25" s="3" t="s">
        <v>32</v>
      </c>
      <c r="D25" s="3">
        <v>26</v>
      </c>
      <c r="E25" s="3">
        <v>32</v>
      </c>
      <c r="F25" s="3">
        <v>62</v>
      </c>
      <c r="G25" s="3">
        <v>2</v>
      </c>
      <c r="H25" t="str">
        <f t="shared" si="0"/>
        <v>Yes</v>
      </c>
      <c r="I25" t="b">
        <f t="shared" si="1"/>
        <v>0</v>
      </c>
      <c r="J25" t="b">
        <f t="shared" si="2"/>
        <v>0</v>
      </c>
    </row>
    <row r="26" spans="1:10" ht="14.45">
      <c r="A26" s="2">
        <v>105</v>
      </c>
      <c r="B26" s="2" t="s">
        <v>36</v>
      </c>
      <c r="C26" s="2" t="s">
        <v>32</v>
      </c>
      <c r="D26" s="2">
        <v>25</v>
      </c>
      <c r="E26" s="2">
        <v>30</v>
      </c>
      <c r="F26" s="2">
        <v>60</v>
      </c>
      <c r="G26" s="2">
        <v>2</v>
      </c>
      <c r="H26" t="str">
        <f t="shared" si="0"/>
        <v>Yes</v>
      </c>
      <c r="I26" t="b">
        <f t="shared" si="1"/>
        <v>0</v>
      </c>
      <c r="J26" t="b">
        <f t="shared" si="2"/>
        <v>0</v>
      </c>
    </row>
    <row r="27" spans="1:10">
      <c r="D27">
        <f>AVERAGE(D2:D26)</f>
        <v>37.04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D72BC-3FF3-4180-BFE2-3971C2055DC2}">
  <dimension ref="A1:K26"/>
  <sheetViews>
    <sheetView workbookViewId="0">
      <selection activeCell="K2" sqref="K2"/>
    </sheetView>
  </sheetViews>
  <sheetFormatPr defaultRowHeight="13.15"/>
  <cols>
    <col min="1" max="1" width="12.140625" bestFit="1" customWidth="1"/>
    <col min="2" max="2" width="7.28515625" bestFit="1" customWidth="1"/>
    <col min="3" max="3" width="11.140625" bestFit="1" customWidth="1"/>
    <col min="4" max="4" width="13.7109375" bestFit="1" customWidth="1"/>
    <col min="5" max="5" width="15.85546875" bestFit="1" customWidth="1"/>
    <col min="6" max="6" width="17" bestFit="1" customWidth="1"/>
    <col min="7" max="7" width="18.42578125" bestFit="1" customWidth="1"/>
    <col min="8" max="8" width="13.7109375" customWidth="1"/>
    <col min="11" max="11" width="10.7109375" customWidth="1"/>
  </cols>
  <sheetData>
    <row r="1" spans="1:11" ht="14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46</v>
      </c>
    </row>
    <row r="2" spans="1:11" ht="14.45">
      <c r="A2" s="2">
        <v>107</v>
      </c>
      <c r="B2" s="2" t="s">
        <v>7</v>
      </c>
      <c r="C2" s="2" t="s">
        <v>8</v>
      </c>
      <c r="D2" s="2">
        <v>50</v>
      </c>
      <c r="E2" s="2">
        <v>80</v>
      </c>
      <c r="F2" s="2">
        <v>100</v>
      </c>
      <c r="G2" s="2">
        <v>5</v>
      </c>
      <c r="H2">
        <f>E2/D3</f>
        <v>1.7021276595744681</v>
      </c>
      <c r="K2" t="str">
        <f>IF(AND(F2&gt;90,G2=5),"Aligned","Not Aligned")</f>
        <v>Aligned</v>
      </c>
    </row>
    <row r="3" spans="1:11" ht="14.45">
      <c r="A3" s="2">
        <v>125</v>
      </c>
      <c r="B3" s="2" t="s">
        <v>9</v>
      </c>
      <c r="C3" s="2" t="s">
        <v>8</v>
      </c>
      <c r="D3" s="2">
        <v>47</v>
      </c>
      <c r="E3" s="2">
        <v>79</v>
      </c>
      <c r="F3" s="2">
        <v>99</v>
      </c>
      <c r="G3" s="2">
        <v>5</v>
      </c>
      <c r="H3">
        <f t="shared" ref="H3:H25" si="0">E3/D4</f>
        <v>1.6458333333333333</v>
      </c>
      <c r="K3" t="str">
        <f t="shared" ref="K3:K26" si="1">IF(AND(F3&gt;90,G3=5),"Aligned","Not Aligned")</f>
        <v>Aligned</v>
      </c>
    </row>
    <row r="4" spans="1:11" ht="14.45">
      <c r="A4" s="2">
        <v>115</v>
      </c>
      <c r="B4" s="2" t="s">
        <v>10</v>
      </c>
      <c r="C4" s="2" t="s">
        <v>8</v>
      </c>
      <c r="D4" s="2">
        <v>48</v>
      </c>
      <c r="E4" s="2">
        <v>78</v>
      </c>
      <c r="F4" s="2">
        <v>98</v>
      </c>
      <c r="G4" s="2">
        <v>5</v>
      </c>
      <c r="H4">
        <f t="shared" si="0"/>
        <v>1.6956521739130435</v>
      </c>
      <c r="J4">
        <f>MAX(H2:H25)</f>
        <v>1.7857142857142858</v>
      </c>
      <c r="K4" t="str">
        <f t="shared" si="1"/>
        <v>Aligned</v>
      </c>
    </row>
    <row r="5" spans="1:11" ht="14.45">
      <c r="A5" s="2">
        <v>123</v>
      </c>
      <c r="B5" s="2" t="s">
        <v>11</v>
      </c>
      <c r="C5" s="2" t="s">
        <v>12</v>
      </c>
      <c r="D5" s="2">
        <v>46</v>
      </c>
      <c r="E5" s="2">
        <v>77</v>
      </c>
      <c r="F5" s="2">
        <v>96</v>
      </c>
      <c r="G5" s="2">
        <v>5</v>
      </c>
      <c r="H5">
        <f t="shared" si="0"/>
        <v>1.711111111111111</v>
      </c>
      <c r="K5" t="str">
        <f t="shared" si="1"/>
        <v>Aligned</v>
      </c>
    </row>
    <row r="6" spans="1:11" ht="14.45">
      <c r="A6" s="3">
        <v>104</v>
      </c>
      <c r="B6" s="3" t="s">
        <v>13</v>
      </c>
      <c r="C6" s="3" t="s">
        <v>8</v>
      </c>
      <c r="D6" s="3">
        <v>45</v>
      </c>
      <c r="E6" s="3">
        <v>75</v>
      </c>
      <c r="F6" s="3">
        <v>95</v>
      </c>
      <c r="G6" s="3">
        <v>5</v>
      </c>
      <c r="H6">
        <f t="shared" si="0"/>
        <v>1.7045454545454546</v>
      </c>
      <c r="K6" t="str">
        <f t="shared" si="1"/>
        <v>Aligned</v>
      </c>
    </row>
    <row r="7" spans="1:11" ht="14.45">
      <c r="A7" s="3">
        <v>112</v>
      </c>
      <c r="B7" s="3" t="s">
        <v>14</v>
      </c>
      <c r="C7" s="3" t="s">
        <v>12</v>
      </c>
      <c r="D7" s="3">
        <v>44</v>
      </c>
      <c r="E7" s="3">
        <v>73</v>
      </c>
      <c r="F7" s="3">
        <v>94</v>
      </c>
      <c r="G7" s="3">
        <v>5</v>
      </c>
      <c r="H7">
        <f t="shared" si="0"/>
        <v>1.6976744186046511</v>
      </c>
      <c r="K7" t="str">
        <f t="shared" si="1"/>
        <v>Aligned</v>
      </c>
    </row>
    <row r="8" spans="1:11" ht="14.45">
      <c r="A8" s="3">
        <v>118</v>
      </c>
      <c r="B8" s="3" t="s">
        <v>15</v>
      </c>
      <c r="C8" s="3" t="s">
        <v>12</v>
      </c>
      <c r="D8" s="3">
        <v>43</v>
      </c>
      <c r="E8" s="3">
        <v>75</v>
      </c>
      <c r="F8" s="3">
        <v>93</v>
      </c>
      <c r="G8" s="3">
        <v>5</v>
      </c>
      <c r="H8">
        <f t="shared" si="0"/>
        <v>1.7857142857142858</v>
      </c>
      <c r="K8" t="str">
        <f t="shared" si="1"/>
        <v>Aligned</v>
      </c>
    </row>
    <row r="9" spans="1:11" ht="14.45">
      <c r="A9" s="2">
        <v>109</v>
      </c>
      <c r="B9" s="2" t="s">
        <v>16</v>
      </c>
      <c r="C9" s="2" t="s">
        <v>12</v>
      </c>
      <c r="D9" s="2">
        <v>42</v>
      </c>
      <c r="E9" s="2">
        <v>70</v>
      </c>
      <c r="F9" s="2">
        <v>92</v>
      </c>
      <c r="G9" s="2">
        <v>5</v>
      </c>
      <c r="H9">
        <f t="shared" si="0"/>
        <v>1.75</v>
      </c>
      <c r="J9" t="str">
        <f>INDEX(B2:B26,MATCH(MAX(H2:H25),H2:H25,0))</f>
        <v>Arjun</v>
      </c>
      <c r="K9" t="str">
        <f t="shared" si="1"/>
        <v>Aligned</v>
      </c>
    </row>
    <row r="10" spans="1:11" ht="14.45">
      <c r="A10" s="3">
        <v>102</v>
      </c>
      <c r="B10" s="3" t="s">
        <v>17</v>
      </c>
      <c r="C10" s="3" t="s">
        <v>12</v>
      </c>
      <c r="D10" s="3">
        <v>40</v>
      </c>
      <c r="E10" s="3">
        <v>65</v>
      </c>
      <c r="F10" s="3">
        <v>90</v>
      </c>
      <c r="G10" s="3">
        <v>5</v>
      </c>
      <c r="H10">
        <f t="shared" si="0"/>
        <v>1.5853658536585367</v>
      </c>
      <c r="K10" t="str">
        <f t="shared" si="1"/>
        <v>Not Aligned</v>
      </c>
    </row>
    <row r="11" spans="1:11" ht="14.45">
      <c r="A11" s="3">
        <v>114</v>
      </c>
      <c r="B11" s="3" t="s">
        <v>18</v>
      </c>
      <c r="C11" s="3" t="s">
        <v>19</v>
      </c>
      <c r="D11" s="3">
        <v>41</v>
      </c>
      <c r="E11" s="3">
        <v>66</v>
      </c>
      <c r="F11" s="3">
        <v>89</v>
      </c>
      <c r="G11" s="3">
        <v>4</v>
      </c>
      <c r="H11">
        <f t="shared" si="0"/>
        <v>1.6923076923076923</v>
      </c>
      <c r="K11" t="str">
        <f t="shared" si="1"/>
        <v>Not Aligned</v>
      </c>
    </row>
    <row r="12" spans="1:11" ht="14.45">
      <c r="A12" s="2">
        <v>119</v>
      </c>
      <c r="B12" s="2" t="s">
        <v>20</v>
      </c>
      <c r="C12" s="2" t="s">
        <v>8</v>
      </c>
      <c r="D12" s="2">
        <v>39</v>
      </c>
      <c r="E12" s="2">
        <v>60</v>
      </c>
      <c r="F12" s="2">
        <v>87</v>
      </c>
      <c r="G12" s="2">
        <v>4</v>
      </c>
      <c r="H12">
        <f t="shared" si="0"/>
        <v>1.5789473684210527</v>
      </c>
      <c r="K12" t="str">
        <f t="shared" si="1"/>
        <v>Not Aligned</v>
      </c>
    </row>
    <row r="13" spans="1:11" ht="14.45">
      <c r="A13" s="3">
        <v>106</v>
      </c>
      <c r="B13" s="3" t="s">
        <v>21</v>
      </c>
      <c r="C13" s="3" t="s">
        <v>19</v>
      </c>
      <c r="D13" s="3">
        <v>38</v>
      </c>
      <c r="E13" s="3">
        <v>58</v>
      </c>
      <c r="F13" s="3">
        <v>85</v>
      </c>
      <c r="G13" s="3">
        <v>4</v>
      </c>
      <c r="H13">
        <f t="shared" si="0"/>
        <v>1.5675675675675675</v>
      </c>
      <c r="K13" t="str">
        <f t="shared" si="1"/>
        <v>Not Aligned</v>
      </c>
    </row>
    <row r="14" spans="1:11" ht="14.45">
      <c r="A14" s="3">
        <v>110</v>
      </c>
      <c r="B14" s="3" t="s">
        <v>22</v>
      </c>
      <c r="C14" s="3" t="s">
        <v>19</v>
      </c>
      <c r="D14" s="3">
        <v>37</v>
      </c>
      <c r="E14" s="3">
        <v>55</v>
      </c>
      <c r="F14" s="3">
        <v>83</v>
      </c>
      <c r="G14" s="3">
        <v>4</v>
      </c>
      <c r="H14">
        <f t="shared" si="0"/>
        <v>1.5714285714285714</v>
      </c>
      <c r="K14" t="str">
        <f t="shared" si="1"/>
        <v>Not Aligned</v>
      </c>
    </row>
    <row r="15" spans="1:11" ht="14.45">
      <c r="A15" s="2">
        <v>101</v>
      </c>
      <c r="B15" s="2" t="s">
        <v>23</v>
      </c>
      <c r="C15" s="2" t="s">
        <v>19</v>
      </c>
      <c r="D15" s="2">
        <v>35</v>
      </c>
      <c r="E15" s="2">
        <v>50</v>
      </c>
      <c r="F15" s="2">
        <v>80</v>
      </c>
      <c r="G15" s="2">
        <v>4</v>
      </c>
      <c r="H15">
        <f t="shared" si="0"/>
        <v>1.3888888888888888</v>
      </c>
      <c r="K15" t="str">
        <f t="shared" si="1"/>
        <v>Not Aligned</v>
      </c>
    </row>
    <row r="16" spans="1:11" ht="14.45">
      <c r="A16" s="3">
        <v>120</v>
      </c>
      <c r="B16" s="3" t="s">
        <v>24</v>
      </c>
      <c r="C16" s="3" t="s">
        <v>19</v>
      </c>
      <c r="D16" s="3">
        <v>36</v>
      </c>
      <c r="E16" s="3">
        <v>52</v>
      </c>
      <c r="F16" s="3">
        <v>78</v>
      </c>
      <c r="G16" s="3">
        <v>4</v>
      </c>
      <c r="H16">
        <f t="shared" si="0"/>
        <v>1.5294117647058822</v>
      </c>
      <c r="K16" t="str">
        <f t="shared" si="1"/>
        <v>Not Aligned</v>
      </c>
    </row>
    <row r="17" spans="1:11" ht="14.45">
      <c r="A17" s="3">
        <v>124</v>
      </c>
      <c r="B17" s="3" t="s">
        <v>25</v>
      </c>
      <c r="C17" s="3" t="s">
        <v>19</v>
      </c>
      <c r="D17" s="3">
        <v>34</v>
      </c>
      <c r="E17" s="3">
        <v>48</v>
      </c>
      <c r="F17" s="3">
        <v>76</v>
      </c>
      <c r="G17" s="3">
        <v>3</v>
      </c>
      <c r="H17">
        <f t="shared" si="0"/>
        <v>1.4545454545454546</v>
      </c>
      <c r="K17" t="str">
        <f t="shared" si="1"/>
        <v>Not Aligned</v>
      </c>
    </row>
    <row r="18" spans="1:11" ht="14.45">
      <c r="A18" s="2">
        <v>113</v>
      </c>
      <c r="B18" s="2" t="s">
        <v>26</v>
      </c>
      <c r="C18" s="2" t="s">
        <v>27</v>
      </c>
      <c r="D18" s="2">
        <v>33</v>
      </c>
      <c r="E18" s="2">
        <v>45</v>
      </c>
      <c r="F18" s="2">
        <v>75</v>
      </c>
      <c r="G18" s="2">
        <v>3</v>
      </c>
      <c r="H18">
        <f t="shared" si="0"/>
        <v>1.40625</v>
      </c>
      <c r="K18" t="str">
        <f t="shared" si="1"/>
        <v>Not Aligned</v>
      </c>
    </row>
    <row r="19" spans="1:11" ht="14.45">
      <c r="A19" s="3">
        <v>122</v>
      </c>
      <c r="B19" s="3" t="s">
        <v>28</v>
      </c>
      <c r="C19" s="3" t="s">
        <v>27</v>
      </c>
      <c r="D19" s="3">
        <v>32</v>
      </c>
      <c r="E19" s="3">
        <v>44</v>
      </c>
      <c r="F19" s="3">
        <v>74</v>
      </c>
      <c r="G19" s="3">
        <v>3</v>
      </c>
      <c r="H19">
        <f t="shared" si="0"/>
        <v>1.4193548387096775</v>
      </c>
      <c r="K19" t="str">
        <f t="shared" si="1"/>
        <v>Not Aligned</v>
      </c>
    </row>
    <row r="20" spans="1:11" ht="14.45">
      <c r="A20" s="2">
        <v>117</v>
      </c>
      <c r="B20" s="2" t="s">
        <v>29</v>
      </c>
      <c r="C20" s="2" t="s">
        <v>27</v>
      </c>
      <c r="D20" s="2">
        <v>31</v>
      </c>
      <c r="E20" s="2">
        <v>42</v>
      </c>
      <c r="F20" s="2">
        <v>72</v>
      </c>
      <c r="G20" s="2">
        <v>3</v>
      </c>
      <c r="H20">
        <f t="shared" si="0"/>
        <v>1.4</v>
      </c>
      <c r="K20" t="str">
        <f t="shared" si="1"/>
        <v>Not Aligned</v>
      </c>
    </row>
    <row r="21" spans="1:11" ht="14.45">
      <c r="A21" s="2">
        <v>103</v>
      </c>
      <c r="B21" s="2" t="s">
        <v>30</v>
      </c>
      <c r="C21" s="2" t="s">
        <v>27</v>
      </c>
      <c r="D21" s="2">
        <v>30</v>
      </c>
      <c r="E21" s="2">
        <v>40</v>
      </c>
      <c r="F21" s="2">
        <v>70</v>
      </c>
      <c r="G21" s="2">
        <v>3</v>
      </c>
      <c r="H21">
        <f t="shared" si="0"/>
        <v>1.3793103448275863</v>
      </c>
      <c r="K21" t="str">
        <f t="shared" si="1"/>
        <v>Not Aligned</v>
      </c>
    </row>
    <row r="22" spans="1:11" ht="14.45">
      <c r="A22" s="2">
        <v>111</v>
      </c>
      <c r="B22" s="2" t="s">
        <v>31</v>
      </c>
      <c r="C22" s="2" t="s">
        <v>32</v>
      </c>
      <c r="D22" s="2">
        <v>29</v>
      </c>
      <c r="E22" s="2">
        <v>38</v>
      </c>
      <c r="F22" s="2">
        <v>68</v>
      </c>
      <c r="G22" s="2">
        <v>3</v>
      </c>
      <c r="H22">
        <f t="shared" si="0"/>
        <v>1.3571428571428572</v>
      </c>
      <c r="K22" t="str">
        <f t="shared" si="1"/>
        <v>Not Aligned</v>
      </c>
    </row>
    <row r="23" spans="1:11" ht="14.45">
      <c r="A23" s="3">
        <v>108</v>
      </c>
      <c r="B23" s="3" t="s">
        <v>33</v>
      </c>
      <c r="C23" s="3" t="s">
        <v>27</v>
      </c>
      <c r="D23" s="3">
        <v>28</v>
      </c>
      <c r="E23" s="3">
        <v>35</v>
      </c>
      <c r="F23" s="3">
        <v>65</v>
      </c>
      <c r="G23" s="3">
        <v>3</v>
      </c>
      <c r="H23">
        <f t="shared" si="0"/>
        <v>1.2962962962962963</v>
      </c>
      <c r="K23" t="str">
        <f t="shared" si="1"/>
        <v>Not Aligned</v>
      </c>
    </row>
    <row r="24" spans="1:11" ht="14.45">
      <c r="A24" s="2">
        <v>121</v>
      </c>
      <c r="B24" s="2" t="s">
        <v>34</v>
      </c>
      <c r="C24" s="2" t="s">
        <v>32</v>
      </c>
      <c r="D24" s="2">
        <v>27</v>
      </c>
      <c r="E24" s="2">
        <v>34</v>
      </c>
      <c r="F24" s="2">
        <v>64</v>
      </c>
      <c r="G24" s="2">
        <v>2</v>
      </c>
      <c r="H24">
        <f t="shared" si="0"/>
        <v>1.3076923076923077</v>
      </c>
      <c r="K24" t="str">
        <f t="shared" si="1"/>
        <v>Not Aligned</v>
      </c>
    </row>
    <row r="25" spans="1:11" ht="14.45">
      <c r="A25" s="3">
        <v>116</v>
      </c>
      <c r="B25" s="3" t="s">
        <v>35</v>
      </c>
      <c r="C25" s="3" t="s">
        <v>32</v>
      </c>
      <c r="D25" s="3">
        <v>26</v>
      </c>
      <c r="E25" s="3">
        <v>32</v>
      </c>
      <c r="F25" s="3">
        <v>62</v>
      </c>
      <c r="G25" s="3">
        <v>2</v>
      </c>
      <c r="H25">
        <f t="shared" si="0"/>
        <v>1.28</v>
      </c>
      <c r="K25" t="str">
        <f t="shared" si="1"/>
        <v>Not Aligned</v>
      </c>
    </row>
    <row r="26" spans="1:11" ht="14.45">
      <c r="A26" s="2">
        <v>105</v>
      </c>
      <c r="B26" s="2" t="s">
        <v>36</v>
      </c>
      <c r="C26" s="2" t="s">
        <v>32</v>
      </c>
      <c r="D26" s="2">
        <v>25</v>
      </c>
      <c r="E26" s="2">
        <v>30</v>
      </c>
      <c r="F26" s="2">
        <v>60</v>
      </c>
      <c r="G26" s="2">
        <v>2</v>
      </c>
      <c r="H26">
        <f>E26/D26</f>
        <v>1.2</v>
      </c>
      <c r="K26" t="str">
        <f t="shared" si="1"/>
        <v>Not Aligned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</dc:creator>
  <cp:keywords/>
  <dc:description/>
  <cp:lastModifiedBy>Kevin Ashmaniwala</cp:lastModifiedBy>
  <cp:revision/>
  <dcterms:created xsi:type="dcterms:W3CDTF">2025-09-16T04:33:53Z</dcterms:created>
  <dcterms:modified xsi:type="dcterms:W3CDTF">2025-09-17T19:13:55Z</dcterms:modified>
  <cp:category/>
  <cp:contentStatus/>
</cp:coreProperties>
</file>